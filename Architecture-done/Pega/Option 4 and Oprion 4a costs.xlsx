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aegon-my.sharepoint.com/personal/bob_freeman_aegon_co_uk/Documents/"/>
    </mc:Choice>
  </mc:AlternateContent>
  <xr:revisionPtr revIDLastSave="0" documentId="8_{2FD7B8F5-FEEE-4AF6-A182-04D6FB39637F}" xr6:coauthVersionLast="47" xr6:coauthVersionMax="47" xr10:uidLastSave="{00000000-0000-0000-0000-000000000000}"/>
  <bookViews>
    <workbookView xWindow="-120" yWindow="-120" windowWidth="29040" windowHeight="15840" firstSheet="4" activeTab="5" xr2:uid="{431BDDD2-2E9D-4C4C-AE05-142179363548}"/>
  </bookViews>
  <sheets>
    <sheet name="Option 4 PoC EKS-A" sheetId="3" r:id="rId1"/>
    <sheet name="Option 4 annual costs" sheetId="1" r:id="rId2"/>
    <sheet name="EKS-A" sheetId="8" r:id="rId3"/>
    <sheet name="Option 4a PoC - EKS Hybrid" sheetId="4" r:id="rId4"/>
    <sheet name="Option 4a annual costs" sheetId="2" r:id="rId5"/>
    <sheet name="EKS Hybrid" sheetId="7" r:id="rId6"/>
    <sheet name="4a Consolidated summary" sheetId="5" r:id="rId7"/>
    <sheet name="EKS-A pricing" sheetId="6" r:id="rId8"/>
  </sheets>
  <definedNames>
    <definedName name="Leave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2" i="1"/>
  <c r="W19" i="8"/>
  <c r="V19" i="8"/>
  <c r="X18" i="7"/>
  <c r="W18" i="7"/>
  <c r="V9" i="7"/>
  <c r="V11" i="7"/>
  <c r="V13" i="7"/>
  <c r="V15" i="7"/>
  <c r="V7" i="7"/>
  <c r="V18" i="7" s="1"/>
  <c r="U7" i="7"/>
  <c r="U10" i="8"/>
  <c r="U12" i="8"/>
  <c r="U14" i="8"/>
  <c r="U16" i="8"/>
  <c r="U8" i="8"/>
  <c r="U19" i="8"/>
  <c r="U8" i="7"/>
  <c r="U9" i="7"/>
  <c r="U10" i="7"/>
  <c r="U11" i="7"/>
  <c r="U12" i="7"/>
  <c r="U13" i="7"/>
  <c r="U14" i="7"/>
  <c r="U15" i="7"/>
  <c r="U16" i="7"/>
  <c r="T17" i="8"/>
  <c r="T9" i="8"/>
  <c r="T10" i="8"/>
  <c r="T11" i="8"/>
  <c r="T12" i="8"/>
  <c r="T13" i="8"/>
  <c r="T14" i="8"/>
  <c r="T15" i="8"/>
  <c r="T16" i="8"/>
  <c r="T8" i="8"/>
  <c r="U18" i="7"/>
  <c r="T8" i="7"/>
  <c r="T9" i="7"/>
  <c r="T10" i="7"/>
  <c r="T11" i="7"/>
  <c r="T12" i="7"/>
  <c r="T13" i="7"/>
  <c r="T14" i="7"/>
  <c r="T15" i="7"/>
  <c r="T16" i="7"/>
  <c r="T7" i="7"/>
  <c r="T18" i="7" s="1"/>
  <c r="P16" i="7"/>
  <c r="R16" i="7" s="1"/>
  <c r="P15" i="7"/>
  <c r="R15" i="7" s="1"/>
  <c r="P14" i="7"/>
  <c r="R14" i="7" s="1"/>
  <c r="P13" i="7"/>
  <c r="R13" i="7" s="1"/>
  <c r="P12" i="7"/>
  <c r="R12" i="7" s="1"/>
  <c r="P11" i="7"/>
  <c r="R11" i="7" s="1"/>
  <c r="P10" i="7"/>
  <c r="R10" i="7" s="1"/>
  <c r="P9" i="7"/>
  <c r="R9" i="7" s="1"/>
  <c r="P8" i="7"/>
  <c r="R8" i="7" s="1"/>
  <c r="P7" i="7"/>
  <c r="R7" i="7" s="1"/>
  <c r="R18" i="7" s="1"/>
  <c r="T19" i="8"/>
  <c r="P17" i="8"/>
  <c r="R17" i="8" s="1"/>
  <c r="P16" i="8"/>
  <c r="R16" i="8" s="1"/>
  <c r="P15" i="8"/>
  <c r="R15" i="8" s="1"/>
  <c r="P14" i="8"/>
  <c r="R14" i="8" s="1"/>
  <c r="P13" i="8"/>
  <c r="R13" i="8" s="1"/>
  <c r="P12" i="8"/>
  <c r="R12" i="8" s="1"/>
  <c r="P11" i="8"/>
  <c r="R11" i="8" s="1"/>
  <c r="P10" i="8"/>
  <c r="R10" i="8" s="1"/>
  <c r="P9" i="8"/>
  <c r="R9" i="8" s="1"/>
  <c r="P8" i="8"/>
  <c r="R8" i="8" s="1"/>
  <c r="R19" i="8" s="1"/>
  <c r="F14" i="1" s="1"/>
  <c r="S5" i="5"/>
  <c r="Y6" i="5"/>
  <c r="Y7" i="5"/>
  <c r="Y8" i="5"/>
  <c r="Y9" i="5"/>
  <c r="Y10" i="5"/>
  <c r="Y11" i="5"/>
  <c r="Y12" i="5"/>
  <c r="Y13" i="5"/>
  <c r="Y14" i="5"/>
  <c r="U14" i="5"/>
  <c r="S14" i="5"/>
  <c r="N14" i="5"/>
  <c r="P14" i="5" s="1"/>
  <c r="W14" i="5" s="1"/>
  <c r="U13" i="5"/>
  <c r="S13" i="5"/>
  <c r="N13" i="5"/>
  <c r="P13" i="5" s="1"/>
  <c r="W13" i="5" s="1"/>
  <c r="U12" i="5"/>
  <c r="S12" i="5"/>
  <c r="N12" i="5"/>
  <c r="P12" i="5" s="1"/>
  <c r="W12" i="5" s="1"/>
  <c r="U11" i="5"/>
  <c r="S11" i="5"/>
  <c r="P11" i="5"/>
  <c r="W11" i="5" s="1"/>
  <c r="N11" i="5"/>
  <c r="U10" i="5"/>
  <c r="S10" i="5"/>
  <c r="S16" i="5" s="1"/>
  <c r="S18" i="5" s="1"/>
  <c r="P10" i="5"/>
  <c r="W10" i="5" s="1"/>
  <c r="N10" i="5"/>
  <c r="U9" i="5"/>
  <c r="S9" i="5"/>
  <c r="N9" i="5"/>
  <c r="P9" i="5" s="1"/>
  <c r="W9" i="5" s="1"/>
  <c r="U8" i="5"/>
  <c r="S8" i="5"/>
  <c r="N8" i="5"/>
  <c r="P8" i="5" s="1"/>
  <c r="W8" i="5" s="1"/>
  <c r="U7" i="5"/>
  <c r="S7" i="5"/>
  <c r="P7" i="5"/>
  <c r="W7" i="5" s="1"/>
  <c r="N7" i="5"/>
  <c r="U6" i="5"/>
  <c r="S6" i="5"/>
  <c r="N6" i="5"/>
  <c r="P6" i="5" s="1"/>
  <c r="W6" i="5" s="1"/>
  <c r="U5" i="5"/>
  <c r="U16" i="5" s="1"/>
  <c r="U18" i="5" s="1"/>
  <c r="N5" i="5"/>
  <c r="P5" i="5" s="1"/>
  <c r="G34" i="2"/>
  <c r="N34" i="2" s="1"/>
  <c r="M34" i="2" s="1"/>
  <c r="G33" i="2"/>
  <c r="N33" i="2" s="1"/>
  <c r="M33" i="2" s="1"/>
  <c r="N10" i="1"/>
  <c r="E5" i="3"/>
  <c r="N44" i="2"/>
  <c r="M44" i="2" s="1"/>
  <c r="N39" i="2"/>
  <c r="M39" i="2" s="1"/>
  <c r="N38" i="2"/>
  <c r="M38" i="2" s="1"/>
  <c r="N37" i="2"/>
  <c r="M37" i="2" s="1"/>
  <c r="N36" i="2"/>
  <c r="M36" i="2" s="1"/>
  <c r="N35" i="2"/>
  <c r="M35" i="2" s="1"/>
  <c r="N28" i="2"/>
  <c r="M28" i="2" s="1"/>
  <c r="N27" i="2"/>
  <c r="M27" i="2" s="1"/>
  <c r="N26" i="2"/>
  <c r="M26" i="2" s="1"/>
  <c r="N25" i="2"/>
  <c r="M25" i="2" s="1"/>
  <c r="N24" i="2"/>
  <c r="M24" i="2" s="1"/>
  <c r="N23" i="2"/>
  <c r="M23" i="2" s="1"/>
  <c r="N22" i="2"/>
  <c r="M22" i="2" s="1"/>
  <c r="N21" i="2"/>
  <c r="M21" i="2" s="1"/>
  <c r="M16" i="2"/>
  <c r="N16" i="2" s="1"/>
  <c r="M9" i="2"/>
  <c r="N9" i="2" s="1"/>
  <c r="M8" i="2"/>
  <c r="N8" i="2" s="1"/>
  <c r="N7" i="2"/>
  <c r="M7" i="2"/>
  <c r="N6" i="2"/>
  <c r="M6" i="2" s="1"/>
  <c r="M5" i="2"/>
  <c r="N5" i="2" s="1"/>
  <c r="M4" i="2"/>
  <c r="N4" i="2" s="1"/>
  <c r="N65" i="1"/>
  <c r="N64" i="1"/>
  <c r="N69" i="1" s="1"/>
  <c r="M64" i="1"/>
  <c r="N44" i="1"/>
  <c r="M44" i="1"/>
  <c r="N39" i="1"/>
  <c r="M39" i="1"/>
  <c r="N38" i="1"/>
  <c r="M38" i="1" s="1"/>
  <c r="N37" i="1"/>
  <c r="M37" i="1"/>
  <c r="N36" i="1"/>
  <c r="M36" i="1"/>
  <c r="N35" i="1"/>
  <c r="M35" i="1"/>
  <c r="N34" i="1"/>
  <c r="M34" i="1" s="1"/>
  <c r="G34" i="1"/>
  <c r="G33" i="1"/>
  <c r="N33" i="1" s="1"/>
  <c r="M33" i="1" s="1"/>
  <c r="N28" i="1"/>
  <c r="M28" i="1"/>
  <c r="N27" i="1"/>
  <c r="M27" i="1" s="1"/>
  <c r="N26" i="1"/>
  <c r="M26" i="1"/>
  <c r="N25" i="1"/>
  <c r="M25" i="1"/>
  <c r="N24" i="1"/>
  <c r="M24" i="1"/>
  <c r="N23" i="1"/>
  <c r="M23" i="1" s="1"/>
  <c r="N22" i="1"/>
  <c r="M22" i="1"/>
  <c r="N21" i="1"/>
  <c r="M21" i="1"/>
  <c r="M16" i="1"/>
  <c r="N16" i="1" s="1"/>
  <c r="M9" i="1"/>
  <c r="N9" i="1" s="1"/>
  <c r="M8" i="1"/>
  <c r="N8" i="1" s="1"/>
  <c r="N7" i="1"/>
  <c r="M7" i="1"/>
  <c r="N6" i="1"/>
  <c r="M6" i="1"/>
  <c r="M5" i="1"/>
  <c r="N5" i="1" s="1"/>
  <c r="M4" i="1"/>
  <c r="M60" i="1" s="1"/>
  <c r="F14" i="2" l="1"/>
  <c r="P16" i="5"/>
  <c r="P18" i="5" s="1"/>
  <c r="W5" i="5"/>
  <c r="N60" i="2"/>
  <c r="N4" i="1"/>
  <c r="N60" i="1" s="1"/>
  <c r="M60" i="2"/>
  <c r="W16" i="5" l="1"/>
  <c r="W18" i="5" s="1"/>
  <c r="Y5" i="5"/>
  <c r="Y18" i="5" s="1"/>
  <c r="W19" i="5"/>
</calcChain>
</file>

<file path=xl/sharedStrings.xml><?xml version="1.0" encoding="utf-8"?>
<sst xmlns="http://schemas.openxmlformats.org/spreadsheetml/2006/main" count="619" uniqueCount="150">
  <si>
    <t>PoC</t>
  </si>
  <si>
    <t>Specialist Container Service Management by HPE via EKS-A which will be deployed on Aegon virtual servers</t>
  </si>
  <si>
    <t>Cost per 2 clusters (1 management cluster + 3 nodes and 1 workload cluster + 9 nodes)
Also 6 Internal HPE MS VM's
Also 1 Container Management Effort
Monitor, Operate and Administration for EKS-A containerised environment for Pega application
Transition Services
Project and Transition Management
Average $120,000 per year (starting $124,412 pa --&gt; $118,628 pa)</t>
  </si>
  <si>
    <t>Budgetary estimate - expires on 08/02/25</t>
  </si>
  <si>
    <t>Total PoC</t>
  </si>
  <si>
    <t>OPTION 4 - REMAIN ON PREM - USE EKS-A THROUGH HPE</t>
  </si>
  <si>
    <t>5 CLUSTERS</t>
  </si>
  <si>
    <t>Cost provided by</t>
  </si>
  <si>
    <t>Quoted/ Estimate</t>
  </si>
  <si>
    <t>Unit cost</t>
  </si>
  <si>
    <t>Cost period</t>
  </si>
  <si>
    <t>EC2</t>
  </si>
  <si>
    <t>Clusters</t>
  </si>
  <si>
    <t>Nodes per cluster</t>
  </si>
  <si>
    <t>GB</t>
  </si>
  <si>
    <t>Cost per month</t>
  </si>
  <si>
    <t>Cost per year</t>
  </si>
  <si>
    <t>Notes</t>
  </si>
  <si>
    <t>EKS-A application costs</t>
  </si>
  <si>
    <t>5 clusters USD/year</t>
  </si>
  <si>
    <t>Production</t>
  </si>
  <si>
    <t>On cloud hosting in EKS-A</t>
  </si>
  <si>
    <t>Cost per month - how does it compare to above?</t>
  </si>
  <si>
    <t>TBC</t>
  </si>
  <si>
    <t>Like for like for BAU</t>
  </si>
  <si>
    <t>Non-Production</t>
  </si>
  <si>
    <t>Nodes on each cluster</t>
  </si>
  <si>
    <t>Cost per node per cluster per year</t>
  </si>
  <si>
    <t>Souvik</t>
  </si>
  <si>
    <t>ALB</t>
  </si>
  <si>
    <t>Fixed AWS cost per load balancer (same as number of clusters)</t>
  </si>
  <si>
    <t>Production and Non Production</t>
  </si>
  <si>
    <t xml:space="preserve">AWS EKS-A Support </t>
  </si>
  <si>
    <t>$14760 per cluster per year (5 clusters) +VAT (Changed from 7 clusters)</t>
  </si>
  <si>
    <t>Ben Newport</t>
  </si>
  <si>
    <t>Call</t>
  </si>
  <si>
    <t>HPE Management Costs</t>
  </si>
  <si>
    <t>Month</t>
  </si>
  <si>
    <t>20000 per month for all prod/ non prod envs</t>
  </si>
  <si>
    <t>Database costs</t>
  </si>
  <si>
    <t>Same as BAU</t>
  </si>
  <si>
    <t>IT Ops</t>
  </si>
  <si>
    <t>Annual</t>
  </si>
  <si>
    <t>Volume Primary database servers</t>
  </si>
  <si>
    <t>Backup management</t>
  </si>
  <si>
    <t>Backup storage</t>
  </si>
  <si>
    <t>Licensing costs (anything outside Greenlake to be provided by Aegon)</t>
  </si>
  <si>
    <t xml:space="preserve">Database licensing - MS SQL </t>
  </si>
  <si>
    <t>Either use AWS licence or bring our own</t>
  </si>
  <si>
    <t>Use BAU - 2 MS SQl lincences</t>
  </si>
  <si>
    <t xml:space="preserve">MI Database licensing - MS SQL </t>
  </si>
  <si>
    <t>Use BAU - 1 MS SQl lincences for MI</t>
  </si>
  <si>
    <t>Redhat Linux licensing</t>
  </si>
  <si>
    <t>Pega licensing</t>
  </si>
  <si>
    <t>Other costs</t>
  </si>
  <si>
    <t>Egress cost</t>
  </si>
  <si>
    <t>No Egress costs as staying on-prem</t>
  </si>
  <si>
    <t>Encryption licence</t>
  </si>
  <si>
    <t>To be confirmed if encryption is needed</t>
  </si>
  <si>
    <t>Suggested that $1,500 per node - Souvik to provide number of nodes across Dev, Pre-Prod and Prod. Mahamed to confirm the cost per node from Cilium/ IWS/ Cisco</t>
  </si>
  <si>
    <t>Mohamed</t>
  </si>
  <si>
    <t>GTS costs</t>
  </si>
  <si>
    <t>Env Ops costs</t>
  </si>
  <si>
    <t>Tech Debt removal</t>
  </si>
  <si>
    <t>Savings (to set against) the managed server costs of $120,000 per year - cost was $126,583 in 2024)</t>
  </si>
  <si>
    <t>Removal of 13 Linux machines acrss Production and Test - estimated costs for 2025 (lower than 2024)</t>
  </si>
  <si>
    <t>Removal of 13 Linux machines acrss Production and Test - additional estimated costs for 2025- different way of charging 2024 costs)</t>
  </si>
  <si>
    <t>One off costs</t>
  </si>
  <si>
    <t>Integrations</t>
  </si>
  <si>
    <t>Any separate costs</t>
  </si>
  <si>
    <t>En Ops</t>
  </si>
  <si>
    <t>Total costs</t>
  </si>
  <si>
    <t>Setup of all prod and on-prod envs in EKS-A by HPE as advised by Ben Newport</t>
  </si>
  <si>
    <t>Management</t>
  </si>
  <si>
    <t>Total PoC costs</t>
  </si>
  <si>
    <t>EKS Anywhere (Option4)</t>
  </si>
  <si>
    <t>PROVIDED BY MARCIN</t>
  </si>
  <si>
    <t>Cluster</t>
  </si>
  <si>
    <t>No. of Instances</t>
  </si>
  <si>
    <t>Tenancy</t>
  </si>
  <si>
    <t>Operating System</t>
  </si>
  <si>
    <t>Instance Type</t>
  </si>
  <si>
    <t>Mem</t>
  </si>
  <si>
    <t>CPU</t>
  </si>
  <si>
    <t>Utilization</t>
  </si>
  <si>
    <t>Storage Type</t>
  </si>
  <si>
    <t>Storage-IOPS</t>
  </si>
  <si>
    <t>Storage- Throughput(mbps)</t>
  </si>
  <si>
    <t>Storage Amount(GB)</t>
  </si>
  <si>
    <t xml:space="preserve">Snapshot </t>
  </si>
  <si>
    <t>HPE monthly VM Cost (USD)</t>
  </si>
  <si>
    <t>HPE monthly Storage Cost (USD)</t>
  </si>
  <si>
    <t>Total HPE Cost USD/year</t>
  </si>
  <si>
    <t>AWS EKS Anywhere cluster cost USD/year (with discount)</t>
  </si>
  <si>
    <t>AWS EKS Standard support USD/year (with discount)</t>
  </si>
  <si>
    <t>AWS Direct Connect Egress (Estimate)</t>
  </si>
  <si>
    <t>Total</t>
  </si>
  <si>
    <t>Shared</t>
  </si>
  <si>
    <t>Linux</t>
  </si>
  <si>
    <t>m5.2x large</t>
  </si>
  <si>
    <t>On-Demand</t>
  </si>
  <si>
    <t>gp3</t>
  </si>
  <si>
    <t>Daily</t>
  </si>
  <si>
    <t>t3a.medium</t>
  </si>
  <si>
    <t>NA</t>
  </si>
  <si>
    <t>PreProd</t>
  </si>
  <si>
    <t>m5a.x large</t>
  </si>
  <si>
    <t>TechTest</t>
  </si>
  <si>
    <t>UAT</t>
  </si>
  <si>
    <t>Dev QA</t>
  </si>
  <si>
    <t>HPE Pricing:</t>
  </si>
  <si>
    <t>Size</t>
  </si>
  <si>
    <t>Monthly Cost/instance in USD</t>
  </si>
  <si>
    <t>4x8</t>
  </si>
  <si>
    <t>4x16</t>
  </si>
  <si>
    <t>8x32</t>
  </si>
  <si>
    <t>Storage</t>
  </si>
  <si>
    <t>Cost in USD</t>
  </si>
  <si>
    <t>AWS EKS Anywhere Pricing:</t>
  </si>
  <si>
    <t>AWS cost of cluster/year (3 years commitment)</t>
  </si>
  <si>
    <t>AWS EKS Standrd support (per cluster/h)</t>
  </si>
  <si>
    <t>AWS special discount for Aegon</t>
  </si>
  <si>
    <t>Please can the steps for setting up the PoC be detailed with any associatd costs</t>
  </si>
  <si>
    <t>OPTION 4 - REMAIN ON PREM - USE AWS HYBRID EKS</t>
  </si>
  <si>
    <t>EKS Hybride (Option 4a)</t>
  </si>
  <si>
    <t>AWS EKS Hybride cluster charge USD/year (with discount)</t>
  </si>
  <si>
    <t>AWS EKS Hybride Node charge USD/year (with discount)</t>
  </si>
  <si>
    <t>AWS EKS Hybride Pricing:</t>
  </si>
  <si>
    <t>AWS vCPU-hours cost</t>
  </si>
  <si>
    <t>AWS cluster charge</t>
  </si>
  <si>
    <t>Total CPU's across all instances</t>
  </si>
  <si>
    <t>CPU per instance unit cost per month</t>
  </si>
  <si>
    <t>CPU per instance total cost per month</t>
  </si>
  <si>
    <t>Size for AWS costing</t>
  </si>
  <si>
    <t>Compute unit cost per instance</t>
  </si>
  <si>
    <t>Total compute cost per instance per month</t>
  </si>
  <si>
    <t>Storage unit cost per instance</t>
  </si>
  <si>
    <t>Total storage cost per instance per month</t>
  </si>
  <si>
    <t>Total monthly cost</t>
  </si>
  <si>
    <t>Total annual cost</t>
  </si>
  <si>
    <t>Monthly total cost ($)</t>
  </si>
  <si>
    <t>Annual total cost ($)</t>
  </si>
  <si>
    <t>Check (must be zero)</t>
  </si>
  <si>
    <t xml:space="preserve">This is copy/ paste valued in from </t>
  </si>
  <si>
    <t>https://aegon-my.sharepoint.com/personal/bob_freeman_aegon_co_uk/Documents/[Pega clusters sizing - EKS-A v2.xlsx]4a Consolidated summary</t>
  </si>
  <si>
    <t>Meeting with AWS went well</t>
  </si>
  <si>
    <t>EKS-A pricing is as follows</t>
  </si>
  <si>
    <t>1 year subscription per cluster is $24k USD*  $19,680 USD</t>
  </si>
  <si>
    <t>3 year subscription per cluster is $18k USD*  $14,760 USD</t>
  </si>
  <si>
    <t>This is what we've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</si>
</sst>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\ ;[Red]\(#,##0\)"/>
    <numFmt numFmtId="165" formatCode="_([$$-409]* #,##0.00_);_([$$-409]* \(#,##0.00\);_([$$-409]* &quot;-&quot;??_);_(@_)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trike/>
      <sz val="11"/>
      <color rgb="FF000000"/>
      <name val="Aptos Narrow"/>
      <family val="2"/>
    </font>
    <font>
      <b/>
      <sz val="16"/>
      <color rgb="FF156082"/>
      <name val="Aptos Narrow"/>
      <family val="2"/>
    </font>
    <font>
      <b/>
      <strike/>
      <sz val="11"/>
      <color rgb="FF000000"/>
      <name val="Arial"/>
      <family val="2"/>
    </font>
    <font>
      <strike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center"/>
    </xf>
    <xf numFmtId="164" fontId="0" fillId="2" borderId="0" xfId="0" applyNumberFormat="1" applyFill="1" applyAlignment="1">
      <alignment horizontal="right" vertical="top" wrapText="1"/>
    </xf>
    <xf numFmtId="0" fontId="0" fillId="0" borderId="0" xfId="0" applyAlignment="1">
      <alignment vertical="top" wrapText="1"/>
    </xf>
    <xf numFmtId="164" fontId="0" fillId="2" borderId="0" xfId="0" applyNumberFormat="1" applyFill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right" vertical="top"/>
    </xf>
    <xf numFmtId="4" fontId="0" fillId="2" borderId="0" xfId="0" applyNumberFormat="1" applyFill="1" applyAlignment="1">
      <alignment horizontal="right" vertical="top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right"/>
    </xf>
    <xf numFmtId="0" fontId="2" fillId="5" borderId="0" xfId="0" applyFont="1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4" fontId="0" fillId="3" borderId="6" xfId="0" applyNumberForma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5" fillId="0" borderId="0" xfId="0" applyFont="1" applyAlignment="1">
      <alignment vertical="center"/>
    </xf>
    <xf numFmtId="4" fontId="0" fillId="5" borderId="1" xfId="0" applyNumberFormat="1" applyFill="1" applyBorder="1" applyAlignment="1">
      <alignment horizontal="center"/>
    </xf>
    <xf numFmtId="0" fontId="5" fillId="13" borderId="0" xfId="0" applyFont="1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7" fillId="14" borderId="7" xfId="0" applyFont="1" applyFill="1" applyBorder="1" applyAlignment="1"/>
    <xf numFmtId="0" fontId="7" fillId="14" borderId="5" xfId="0" applyFont="1" applyFill="1" applyBorder="1" applyAlignment="1"/>
    <xf numFmtId="0" fontId="7" fillId="14" borderId="8" xfId="0" applyFont="1" applyFill="1" applyBorder="1" applyAlignment="1"/>
    <xf numFmtId="0" fontId="8" fillId="15" borderId="2" xfId="0" applyFont="1" applyFill="1" applyBorder="1" applyAlignment="1">
      <alignment wrapText="1"/>
    </xf>
    <xf numFmtId="0" fontId="8" fillId="15" borderId="3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10" xfId="0" applyFont="1" applyFill="1" applyBorder="1" applyAlignment="1"/>
    <xf numFmtId="0" fontId="7" fillId="0" borderId="9" xfId="0" applyFont="1" applyFill="1" applyBorder="1" applyAlignment="1"/>
    <xf numFmtId="0" fontId="9" fillId="16" borderId="3" xfId="0" applyFont="1" applyFill="1" applyBorder="1" applyAlignment="1">
      <alignment wrapText="1"/>
    </xf>
    <xf numFmtId="0" fontId="6" fillId="0" borderId="3" xfId="0" applyFont="1" applyFill="1" applyBorder="1" applyAlignment="1"/>
    <xf numFmtId="0" fontId="10" fillId="0" borderId="3" xfId="0" applyFont="1" applyFill="1" applyBorder="1" applyAlignment="1"/>
    <xf numFmtId="0" fontId="6" fillId="16" borderId="3" xfId="0" applyFont="1" applyFill="1" applyBorder="1" applyAlignment="1"/>
    <xf numFmtId="8" fontId="6" fillId="0" borderId="0" xfId="0" applyNumberFormat="1" applyFont="1" applyFill="1" applyBorder="1" applyAlignment="1"/>
    <xf numFmtId="8" fontId="6" fillId="0" borderId="11" xfId="0" applyNumberFormat="1" applyFont="1" applyFill="1" applyBorder="1" applyAlignment="1"/>
    <xf numFmtId="0" fontId="9" fillId="17" borderId="3" xfId="0" applyFont="1" applyFill="1" applyBorder="1" applyAlignment="1">
      <alignment wrapText="1"/>
    </xf>
    <xf numFmtId="0" fontId="6" fillId="17" borderId="3" xfId="0" applyFont="1" applyFill="1" applyBorder="1" applyAlignment="1"/>
    <xf numFmtId="0" fontId="9" fillId="18" borderId="3" xfId="0" applyFont="1" applyFill="1" applyBorder="1" applyAlignment="1">
      <alignment wrapText="1"/>
    </xf>
    <xf numFmtId="0" fontId="6" fillId="18" borderId="3" xfId="0" applyFont="1" applyFill="1" applyBorder="1" applyAlignment="1"/>
    <xf numFmtId="0" fontId="9" fillId="19" borderId="3" xfId="0" applyFont="1" applyFill="1" applyBorder="1" applyAlignment="1">
      <alignment wrapText="1"/>
    </xf>
    <xf numFmtId="0" fontId="6" fillId="19" borderId="3" xfId="0" applyFont="1" applyFill="1" applyBorder="1" applyAlignment="1"/>
    <xf numFmtId="0" fontId="9" fillId="20" borderId="12" xfId="0" applyFont="1" applyFill="1" applyBorder="1" applyAlignment="1">
      <alignment wrapText="1"/>
    </xf>
    <xf numFmtId="0" fontId="6" fillId="0" borderId="2" xfId="0" applyFont="1" applyFill="1" applyBorder="1" applyAlignment="1"/>
    <xf numFmtId="0" fontId="6" fillId="20" borderId="3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Alignment="1"/>
    <xf numFmtId="0" fontId="6" fillId="0" borderId="1" xfId="0" applyFont="1" applyFill="1" applyBorder="1" applyAlignment="1"/>
    <xf numFmtId="0" fontId="6" fillId="0" borderId="4" xfId="0" applyFont="1" applyFill="1" applyBorder="1" applyAlignment="1"/>
    <xf numFmtId="8" fontId="6" fillId="0" borderId="3" xfId="0" applyNumberFormat="1" applyFont="1" applyFill="1" applyBorder="1" applyAlignment="1"/>
    <xf numFmtId="0" fontId="6" fillId="0" borderId="7" xfId="0" applyFont="1" applyFill="1" applyBorder="1" applyAlignment="1">
      <alignment wrapText="1"/>
    </xf>
    <xf numFmtId="0" fontId="6" fillId="0" borderId="5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8" fontId="6" fillId="0" borderId="4" xfId="0" applyNumberFormat="1" applyFont="1" applyFill="1" applyBorder="1" applyAlignment="1"/>
    <xf numFmtId="8" fontId="11" fillId="0" borderId="0" xfId="0" applyNumberFormat="1" applyFont="1" applyFill="1" applyBorder="1" applyAlignment="1"/>
    <xf numFmtId="0" fontId="12" fillId="15" borderId="3" xfId="0" applyFont="1" applyFill="1" applyBorder="1" applyAlignment="1">
      <alignment wrapText="1"/>
    </xf>
    <xf numFmtId="9" fontId="0" fillId="0" borderId="0" xfId="0" applyNumberFormat="1"/>
    <xf numFmtId="0" fontId="1" fillId="21" borderId="0" xfId="0" applyFont="1" applyFill="1"/>
    <xf numFmtId="0" fontId="0" fillId="21" borderId="0" xfId="0" applyFill="1"/>
    <xf numFmtId="8" fontId="0" fillId="21" borderId="0" xfId="0" applyNumberFormat="1" applyFill="1"/>
    <xf numFmtId="0" fontId="13" fillId="0" borderId="0" xfId="0" applyFont="1"/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6" fillId="0" borderId="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8" fontId="6" fillId="0" borderId="13" xfId="0" applyNumberFormat="1" applyFont="1" applyFill="1" applyBorder="1" applyAlignment="1"/>
    <xf numFmtId="0" fontId="6" fillId="0" borderId="13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wrapText="1"/>
    </xf>
    <xf numFmtId="0" fontId="6" fillId="0" borderId="14" xfId="0" applyFont="1" applyFill="1" applyBorder="1" applyAlignment="1"/>
    <xf numFmtId="165" fontId="6" fillId="0" borderId="13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165" fontId="6" fillId="0" borderId="0" xfId="0" applyNumberFormat="1" applyFont="1" applyFill="1" applyBorder="1" applyAlignment="1">
      <alignment vertical="center"/>
    </xf>
    <xf numFmtId="165" fontId="6" fillId="0" borderId="0" xfId="0" applyNumberFormat="1" applyFont="1" applyFill="1" applyBorder="1" applyAlignment="1"/>
    <xf numFmtId="165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5" fontId="6" fillId="0" borderId="13" xfId="0" applyNumberFormat="1" applyFont="1" applyFill="1" applyBorder="1" applyAlignment="1">
      <alignment horizontal="center" vertical="center"/>
    </xf>
    <xf numFmtId="0" fontId="14" fillId="0" borderId="0" xfId="0" applyFont="1"/>
    <xf numFmtId="8" fontId="1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60DC-6EFA-49B2-85FB-62457491E52F}">
  <sheetPr>
    <tabColor theme="8" tint="0.59999389629810485"/>
  </sheetPr>
  <dimension ref="A2:E5"/>
  <sheetViews>
    <sheetView workbookViewId="0">
      <selection activeCell="E5" sqref="E5"/>
    </sheetView>
  </sheetViews>
  <sheetFormatPr defaultRowHeight="15"/>
  <cols>
    <col min="2" max="2" width="33.28515625" customWidth="1"/>
    <col min="3" max="3" width="71.85546875" customWidth="1"/>
    <col min="4" max="4" width="33.28515625" customWidth="1"/>
    <col min="5" max="5" width="17.28515625" customWidth="1"/>
  </cols>
  <sheetData>
    <row r="2" spans="1:5" ht="150">
      <c r="A2" s="13" t="s">
        <v>0</v>
      </c>
      <c r="B2" s="11" t="s">
        <v>1</v>
      </c>
      <c r="C2" s="11" t="s">
        <v>2</v>
      </c>
      <c r="D2" s="23" t="s">
        <v>3</v>
      </c>
      <c r="E2" s="24">
        <v>74000</v>
      </c>
    </row>
    <row r="5" spans="1:5">
      <c r="A5" t="s">
        <v>4</v>
      </c>
      <c r="E5" s="25">
        <f>SUM(E2:E4)</f>
        <v>74000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881C-E3DD-49F6-B389-D3267B85C9EF}">
  <sheetPr>
    <tabColor theme="8" tint="0.59999389629810485"/>
  </sheetPr>
  <dimension ref="A1:O69"/>
  <sheetViews>
    <sheetView zoomScale="66" zoomScaleNormal="66" workbookViewId="0">
      <selection activeCell="F3" sqref="F3"/>
    </sheetView>
  </sheetViews>
  <sheetFormatPr defaultRowHeight="15"/>
  <cols>
    <col min="1" max="1" width="37.85546875" customWidth="1"/>
    <col min="2" max="2" width="35.28515625" customWidth="1"/>
    <col min="3" max="3" width="92" customWidth="1"/>
    <col min="4" max="4" width="25.28515625" customWidth="1"/>
    <col min="5" max="5" width="22" bestFit="1" customWidth="1"/>
    <col min="6" max="6" width="22.85546875" bestFit="1" customWidth="1"/>
    <col min="7" max="7" width="13.140625" style="5" bestFit="1" customWidth="1"/>
    <col min="8" max="8" width="15.5703125" style="5" bestFit="1" customWidth="1"/>
    <col min="9" max="9" width="15.7109375" style="5" customWidth="1"/>
    <col min="10" max="10" width="11" style="5" bestFit="1" customWidth="1"/>
    <col min="11" max="11" width="22.140625" style="5" bestFit="1" customWidth="1"/>
    <col min="12" max="12" width="12.85546875" style="5" customWidth="1"/>
    <col min="13" max="14" width="20.85546875" style="6" customWidth="1"/>
    <col min="15" max="15" width="45.42578125" bestFit="1" customWidth="1"/>
  </cols>
  <sheetData>
    <row r="1" spans="1:15">
      <c r="A1" s="1" t="s">
        <v>5</v>
      </c>
      <c r="C1" s="48" t="s">
        <v>6</v>
      </c>
      <c r="E1" s="2" t="s">
        <v>7</v>
      </c>
      <c r="F1" s="2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4" t="s">
        <v>15</v>
      </c>
      <c r="N1" s="4" t="s">
        <v>16</v>
      </c>
      <c r="O1" s="3" t="s">
        <v>17</v>
      </c>
    </row>
    <row r="2" spans="1:15">
      <c r="A2" s="92" t="s">
        <v>18</v>
      </c>
      <c r="B2" s="93"/>
      <c r="C2" s="93" t="s">
        <v>19</v>
      </c>
      <c r="D2" s="93"/>
      <c r="E2" s="93"/>
      <c r="F2" s="94">
        <f>'EKS-A'!T19+'EKS-A'!U19+'EKS-A'!V19</f>
        <v>170544</v>
      </c>
    </row>
    <row r="4" spans="1:15">
      <c r="A4" s="95" t="s">
        <v>20</v>
      </c>
      <c r="B4" s="95" t="s">
        <v>21</v>
      </c>
      <c r="C4" s="95" t="s">
        <v>22</v>
      </c>
      <c r="D4" s="95"/>
      <c r="E4" s="95"/>
      <c r="F4" s="95" t="s">
        <v>23</v>
      </c>
      <c r="M4" s="7">
        <f>G4*J4</f>
        <v>0</v>
      </c>
      <c r="N4" s="8">
        <f>M4*12</f>
        <v>0</v>
      </c>
      <c r="O4" t="s">
        <v>24</v>
      </c>
    </row>
    <row r="5" spans="1:15">
      <c r="A5" s="95" t="s">
        <v>25</v>
      </c>
      <c r="B5" s="95" t="s">
        <v>21</v>
      </c>
      <c r="C5" s="95" t="s">
        <v>22</v>
      </c>
      <c r="D5" s="95"/>
      <c r="E5" s="95"/>
      <c r="F5" s="95" t="s">
        <v>23</v>
      </c>
      <c r="G5" s="9"/>
      <c r="H5" s="9"/>
      <c r="M5" s="7">
        <f>G5*J5</f>
        <v>0</v>
      </c>
      <c r="N5" s="8">
        <f>M5*12</f>
        <v>0</v>
      </c>
      <c r="O5" t="s">
        <v>24</v>
      </c>
    </row>
    <row r="6" spans="1:15">
      <c r="A6" s="95" t="s">
        <v>20</v>
      </c>
      <c r="B6" s="95" t="s">
        <v>26</v>
      </c>
      <c r="C6" s="95" t="s">
        <v>27</v>
      </c>
      <c r="D6" s="95"/>
      <c r="E6" s="95" t="s">
        <v>28</v>
      </c>
      <c r="F6" s="95" t="s">
        <v>23</v>
      </c>
      <c r="G6" s="9"/>
      <c r="H6" s="9"/>
      <c r="M6" s="8">
        <f>N6/12</f>
        <v>0</v>
      </c>
      <c r="N6" s="10">
        <f>G6*J6*K6</f>
        <v>0</v>
      </c>
    </row>
    <row r="7" spans="1:15">
      <c r="A7" s="95" t="s">
        <v>25</v>
      </c>
      <c r="B7" s="95" t="s">
        <v>26</v>
      </c>
      <c r="C7" s="95" t="s">
        <v>27</v>
      </c>
      <c r="D7" s="95"/>
      <c r="E7" s="95" t="s">
        <v>28</v>
      </c>
      <c r="F7" s="95" t="s">
        <v>23</v>
      </c>
      <c r="G7" s="9"/>
      <c r="H7" s="9"/>
      <c r="M7" s="8">
        <f>N7/12</f>
        <v>0</v>
      </c>
      <c r="N7" s="10">
        <f>G7*J7*K7</f>
        <v>0</v>
      </c>
    </row>
    <row r="8" spans="1:15">
      <c r="A8" s="95" t="s">
        <v>20</v>
      </c>
      <c r="B8" s="96" t="s">
        <v>29</v>
      </c>
      <c r="C8" s="95" t="s">
        <v>30</v>
      </c>
      <c r="D8" s="95"/>
      <c r="E8" s="95"/>
      <c r="F8" s="95" t="s">
        <v>23</v>
      </c>
      <c r="G8" s="9"/>
      <c r="H8" s="9"/>
      <c r="M8" s="12">
        <f>G8</f>
        <v>0</v>
      </c>
      <c r="N8" s="8">
        <f>M8*12</f>
        <v>0</v>
      </c>
    </row>
    <row r="9" spans="1:15">
      <c r="A9" s="95" t="s">
        <v>25</v>
      </c>
      <c r="B9" s="96" t="s">
        <v>29</v>
      </c>
      <c r="C9" s="95" t="s">
        <v>30</v>
      </c>
      <c r="D9" s="95"/>
      <c r="E9" s="95"/>
      <c r="F9" s="95" t="s">
        <v>23</v>
      </c>
      <c r="G9" s="9"/>
      <c r="H9" s="9"/>
      <c r="M9" s="12">
        <f>G9</f>
        <v>0</v>
      </c>
      <c r="N9" s="8">
        <f>M9*12</f>
        <v>0</v>
      </c>
    </row>
    <row r="10" spans="1:15">
      <c r="A10" s="95" t="s">
        <v>31</v>
      </c>
      <c r="B10" s="96" t="s">
        <v>32</v>
      </c>
      <c r="C10" s="95" t="s">
        <v>33</v>
      </c>
      <c r="D10" s="95"/>
      <c r="E10" s="95" t="s">
        <v>34</v>
      </c>
      <c r="F10" s="95" t="s">
        <v>35</v>
      </c>
      <c r="G10"/>
      <c r="H10"/>
      <c r="M10" s="12"/>
      <c r="N10" s="8">
        <f>(14760 *5)*1.2</f>
        <v>88560</v>
      </c>
    </row>
    <row r="11" spans="1:15">
      <c r="B11" s="11"/>
      <c r="G11"/>
      <c r="H11"/>
      <c r="M11" s="12"/>
      <c r="N11" s="8"/>
    </row>
    <row r="14" spans="1:15">
      <c r="A14" s="92" t="s">
        <v>36</v>
      </c>
      <c r="B14" s="93"/>
      <c r="C14" s="93" t="s">
        <v>19</v>
      </c>
      <c r="D14" s="93"/>
      <c r="E14" s="93"/>
      <c r="F14" s="94">
        <f>'EKS-A'!R19</f>
        <v>32652.000000000007</v>
      </c>
    </row>
    <row r="16" spans="1:15">
      <c r="A16" s="95" t="s">
        <v>20</v>
      </c>
      <c r="F16" s="13" t="s">
        <v>23</v>
      </c>
      <c r="G16" s="14">
        <v>20000</v>
      </c>
      <c r="H16" s="14" t="s">
        <v>37</v>
      </c>
      <c r="I16" s="14"/>
      <c r="J16" s="14">
        <v>1</v>
      </c>
      <c r="K16" s="14">
        <v>1</v>
      </c>
      <c r="L16" s="14"/>
      <c r="M16" s="15">
        <f>G16*J16</f>
        <v>20000</v>
      </c>
      <c r="N16" s="16">
        <f>M16*12</f>
        <v>240000</v>
      </c>
      <c r="O16" s="13" t="s">
        <v>38</v>
      </c>
    </row>
    <row r="17" spans="1:14">
      <c r="A17" s="95" t="s">
        <v>25</v>
      </c>
    </row>
    <row r="19" spans="1:14">
      <c r="A19" s="2" t="s">
        <v>39</v>
      </c>
    </row>
    <row r="21" spans="1:14">
      <c r="A21" t="s">
        <v>20</v>
      </c>
      <c r="B21" t="s">
        <v>40</v>
      </c>
      <c r="C21" t="s">
        <v>40</v>
      </c>
      <c r="E21" t="s">
        <v>41</v>
      </c>
      <c r="F21" t="s">
        <v>23</v>
      </c>
      <c r="G21" s="5">
        <v>352988.52</v>
      </c>
      <c r="H21" s="5" t="s">
        <v>42</v>
      </c>
      <c r="I21" s="17"/>
      <c r="M21" s="8">
        <f>N21/12</f>
        <v>29415.710000000003</v>
      </c>
      <c r="N21" s="10">
        <f>G21</f>
        <v>352988.52</v>
      </c>
    </row>
    <row r="22" spans="1:14">
      <c r="A22" t="s">
        <v>25</v>
      </c>
      <c r="B22" t="s">
        <v>40</v>
      </c>
      <c r="C22" t="s">
        <v>40</v>
      </c>
      <c r="E22" t="s">
        <v>41</v>
      </c>
      <c r="F22" t="s">
        <v>23</v>
      </c>
      <c r="G22" s="5">
        <v>107383.44</v>
      </c>
      <c r="H22" s="5" t="s">
        <v>42</v>
      </c>
      <c r="M22" s="8">
        <f t="shared" ref="M22:M28" si="0">N22/12</f>
        <v>8948.6200000000008</v>
      </c>
      <c r="N22" s="10">
        <f>G22</f>
        <v>107383.44</v>
      </c>
    </row>
    <row r="23" spans="1:14">
      <c r="A23" t="s">
        <v>20</v>
      </c>
      <c r="B23" s="11" t="s">
        <v>43</v>
      </c>
      <c r="C23" t="s">
        <v>40</v>
      </c>
      <c r="E23" t="s">
        <v>41</v>
      </c>
      <c r="F23" t="s">
        <v>23</v>
      </c>
      <c r="G23" s="9"/>
      <c r="H23" s="9"/>
      <c r="I23" s="18"/>
      <c r="M23" s="8">
        <f t="shared" si="0"/>
        <v>0</v>
      </c>
      <c r="N23" s="10">
        <f t="shared" ref="N23:N28" si="1">G23*I23</f>
        <v>0</v>
      </c>
    </row>
    <row r="24" spans="1:14">
      <c r="A24" t="s">
        <v>25</v>
      </c>
      <c r="B24" s="11" t="s">
        <v>43</v>
      </c>
      <c r="C24" t="s">
        <v>40</v>
      </c>
      <c r="E24" t="s">
        <v>41</v>
      </c>
      <c r="F24" t="s">
        <v>23</v>
      </c>
      <c r="G24" s="9"/>
      <c r="H24" s="9"/>
      <c r="M24" s="8">
        <f t="shared" si="0"/>
        <v>0</v>
      </c>
      <c r="N24" s="10">
        <f t="shared" si="1"/>
        <v>0</v>
      </c>
    </row>
    <row r="25" spans="1:14">
      <c r="A25" t="s">
        <v>20</v>
      </c>
      <c r="B25" s="11" t="s">
        <v>44</v>
      </c>
      <c r="C25" t="s">
        <v>40</v>
      </c>
      <c r="E25" t="s">
        <v>41</v>
      </c>
      <c r="F25" t="s">
        <v>23</v>
      </c>
      <c r="G25" s="9"/>
      <c r="H25" s="9"/>
      <c r="I25" s="18"/>
      <c r="M25" s="8">
        <f t="shared" si="0"/>
        <v>0</v>
      </c>
      <c r="N25" s="10">
        <f t="shared" si="1"/>
        <v>0</v>
      </c>
    </row>
    <row r="26" spans="1:14">
      <c r="A26" t="s">
        <v>25</v>
      </c>
      <c r="B26" s="11" t="s">
        <v>44</v>
      </c>
      <c r="C26" t="s">
        <v>40</v>
      </c>
      <c r="E26" t="s">
        <v>41</v>
      </c>
      <c r="F26" t="s">
        <v>23</v>
      </c>
      <c r="G26" s="9"/>
      <c r="H26" s="9"/>
      <c r="M26" s="8">
        <f t="shared" si="0"/>
        <v>0</v>
      </c>
      <c r="N26" s="10">
        <f t="shared" si="1"/>
        <v>0</v>
      </c>
    </row>
    <row r="27" spans="1:14">
      <c r="A27" t="s">
        <v>20</v>
      </c>
      <c r="B27" s="11" t="s">
        <v>45</v>
      </c>
      <c r="C27" t="s">
        <v>40</v>
      </c>
      <c r="E27" t="s">
        <v>41</v>
      </c>
      <c r="F27" t="s">
        <v>23</v>
      </c>
      <c r="G27" s="9"/>
      <c r="H27" s="9"/>
      <c r="I27" s="18"/>
      <c r="M27" s="8">
        <f t="shared" si="0"/>
        <v>0</v>
      </c>
      <c r="N27" s="10">
        <f t="shared" si="1"/>
        <v>0</v>
      </c>
    </row>
    <row r="28" spans="1:14">
      <c r="A28" t="s">
        <v>25</v>
      </c>
      <c r="B28" s="11" t="s">
        <v>45</v>
      </c>
      <c r="C28" t="s">
        <v>40</v>
      </c>
      <c r="E28" t="s">
        <v>41</v>
      </c>
      <c r="F28" t="s">
        <v>23</v>
      </c>
      <c r="G28" s="9"/>
      <c r="H28" s="9"/>
      <c r="M28" s="8">
        <f t="shared" si="0"/>
        <v>0</v>
      </c>
      <c r="N28" s="10">
        <f t="shared" si="1"/>
        <v>0</v>
      </c>
    </row>
    <row r="31" spans="1:14">
      <c r="A31" s="2" t="s">
        <v>46</v>
      </c>
    </row>
    <row r="33" spans="1:15">
      <c r="A33" s="13" t="s">
        <v>20</v>
      </c>
      <c r="B33" s="13" t="s">
        <v>47</v>
      </c>
      <c r="C33" s="13" t="s">
        <v>48</v>
      </c>
      <c r="D33" s="14" t="b">
        <v>1</v>
      </c>
      <c r="E33" s="13"/>
      <c r="F33" s="13" t="s">
        <v>23</v>
      </c>
      <c r="G33" s="17">
        <f>41745.6*2</f>
        <v>83491.199999999997</v>
      </c>
      <c r="H33" s="14"/>
      <c r="I33" s="14"/>
      <c r="J33" s="14"/>
      <c r="K33" s="14"/>
      <c r="L33" s="14"/>
      <c r="M33" s="19">
        <f t="shared" ref="M33:M39" si="2">N33/12</f>
        <v>6957.5999999999995</v>
      </c>
      <c r="N33" s="20">
        <f>G33</f>
        <v>83491.199999999997</v>
      </c>
      <c r="O33" s="13" t="s">
        <v>49</v>
      </c>
    </row>
    <row r="34" spans="1:15">
      <c r="A34" s="13" t="s">
        <v>20</v>
      </c>
      <c r="B34" s="13" t="s">
        <v>50</v>
      </c>
      <c r="C34" s="13" t="s">
        <v>48</v>
      </c>
      <c r="D34" s="14" t="b">
        <v>0</v>
      </c>
      <c r="E34" s="13"/>
      <c r="F34" s="13" t="s">
        <v>23</v>
      </c>
      <c r="G34" s="17">
        <f>41745.6</f>
        <v>41745.599999999999</v>
      </c>
      <c r="H34" s="14"/>
      <c r="I34" s="14"/>
      <c r="J34" s="14"/>
      <c r="K34" s="14"/>
      <c r="L34" s="14"/>
      <c r="M34" s="19">
        <f t="shared" si="2"/>
        <v>3478.7999999999997</v>
      </c>
      <c r="N34" s="20">
        <f>G34</f>
        <v>41745.599999999999</v>
      </c>
      <c r="O34" s="13" t="s">
        <v>51</v>
      </c>
    </row>
    <row r="35" spans="1:15">
      <c r="A35" t="s">
        <v>25</v>
      </c>
      <c r="B35" t="s">
        <v>47</v>
      </c>
      <c r="C35" t="s">
        <v>40</v>
      </c>
      <c r="F35" t="s">
        <v>23</v>
      </c>
      <c r="G35" s="9"/>
      <c r="H35" s="9"/>
      <c r="M35" s="8">
        <f t="shared" si="2"/>
        <v>0</v>
      </c>
      <c r="N35" s="10">
        <f t="shared" ref="N35:N39" si="3">G35*I35</f>
        <v>0</v>
      </c>
    </row>
    <row r="36" spans="1:15">
      <c r="A36" t="s">
        <v>20</v>
      </c>
      <c r="B36" t="s">
        <v>52</v>
      </c>
      <c r="C36" t="s">
        <v>40</v>
      </c>
      <c r="F36" t="s">
        <v>23</v>
      </c>
      <c r="G36" s="9"/>
      <c r="H36" s="9"/>
      <c r="M36" s="8">
        <f t="shared" si="2"/>
        <v>0</v>
      </c>
      <c r="N36" s="10">
        <f t="shared" si="3"/>
        <v>0</v>
      </c>
    </row>
    <row r="37" spans="1:15">
      <c r="A37" t="s">
        <v>25</v>
      </c>
      <c r="B37" t="s">
        <v>52</v>
      </c>
      <c r="C37" t="s">
        <v>40</v>
      </c>
      <c r="F37" t="s">
        <v>23</v>
      </c>
      <c r="G37" s="9"/>
      <c r="H37" s="9"/>
      <c r="M37" s="8">
        <f t="shared" si="2"/>
        <v>0</v>
      </c>
      <c r="N37" s="10">
        <f t="shared" si="3"/>
        <v>0</v>
      </c>
    </row>
    <row r="38" spans="1:15">
      <c r="A38" t="s">
        <v>20</v>
      </c>
      <c r="B38" t="s">
        <v>53</v>
      </c>
      <c r="C38" t="s">
        <v>40</v>
      </c>
      <c r="F38" t="s">
        <v>23</v>
      </c>
      <c r="G38" s="9"/>
      <c r="H38" s="9"/>
      <c r="M38" s="8">
        <f t="shared" si="2"/>
        <v>0</v>
      </c>
      <c r="N38" s="10">
        <f t="shared" si="3"/>
        <v>0</v>
      </c>
    </row>
    <row r="39" spans="1:15">
      <c r="A39" t="s">
        <v>25</v>
      </c>
      <c r="B39" t="s">
        <v>53</v>
      </c>
      <c r="C39" t="s">
        <v>40</v>
      </c>
      <c r="F39" t="s">
        <v>23</v>
      </c>
      <c r="G39" s="9"/>
      <c r="H39" s="9"/>
      <c r="M39" s="8">
        <f t="shared" si="2"/>
        <v>0</v>
      </c>
      <c r="N39" s="10">
        <f t="shared" si="3"/>
        <v>0</v>
      </c>
    </row>
    <row r="42" spans="1:15">
      <c r="A42" s="2" t="s">
        <v>54</v>
      </c>
    </row>
    <row r="44" spans="1:15">
      <c r="A44" s="13" t="s">
        <v>55</v>
      </c>
      <c r="B44" s="13" t="s">
        <v>56</v>
      </c>
      <c r="C44" s="21"/>
      <c r="D44" s="21"/>
      <c r="G44" s="9"/>
      <c r="H44" s="9"/>
      <c r="M44" s="8">
        <f t="shared" ref="M44" si="4">N44/12</f>
        <v>0</v>
      </c>
      <c r="N44" s="10">
        <f t="shared" ref="N44" si="5">G44*I44</f>
        <v>0</v>
      </c>
    </row>
    <row r="45" spans="1:15">
      <c r="A45" t="s">
        <v>57</v>
      </c>
      <c r="B45" t="s">
        <v>58</v>
      </c>
      <c r="C45" t="s">
        <v>59</v>
      </c>
      <c r="E45" t="s">
        <v>60</v>
      </c>
    </row>
    <row r="46" spans="1:15">
      <c r="A46" t="s">
        <v>61</v>
      </c>
    </row>
    <row r="47" spans="1:15">
      <c r="A47" t="s">
        <v>62</v>
      </c>
    </row>
    <row r="48" spans="1:15">
      <c r="A48" t="s">
        <v>63</v>
      </c>
    </row>
    <row r="51" spans="1:15">
      <c r="A51" s="2" t="s">
        <v>64</v>
      </c>
    </row>
    <row r="53" spans="1:15">
      <c r="A53" t="s">
        <v>65</v>
      </c>
    </row>
    <row r="54" spans="1:15">
      <c r="A54" t="s">
        <v>66</v>
      </c>
    </row>
    <row r="56" spans="1:15">
      <c r="A56" s="2" t="s">
        <v>67</v>
      </c>
    </row>
    <row r="58" spans="1:15">
      <c r="A58" t="s">
        <v>68</v>
      </c>
      <c r="B58" t="s">
        <v>69</v>
      </c>
      <c r="E58" t="s">
        <v>70</v>
      </c>
    </row>
    <row r="60" spans="1:15" s="2" customFormat="1">
      <c r="A60" s="2" t="s">
        <v>71</v>
      </c>
      <c r="G60" s="3"/>
      <c r="H60" s="3"/>
      <c r="I60" s="3"/>
      <c r="J60" s="3"/>
      <c r="K60" s="3"/>
      <c r="L60" s="3"/>
      <c r="M60" s="22">
        <f>SUM(M4:M59)</f>
        <v>68800.73000000001</v>
      </c>
      <c r="N60" s="22">
        <f>SUM(N4:N59)</f>
        <v>914168.75999999989</v>
      </c>
    </row>
    <row r="62" spans="1:15">
      <c r="A62" s="2" t="s">
        <v>0</v>
      </c>
    </row>
    <row r="64" spans="1:15" s="13" customFormat="1" ht="120">
      <c r="A64" s="13" t="s">
        <v>0</v>
      </c>
      <c r="B64" s="11" t="s">
        <v>1</v>
      </c>
      <c r="C64" s="11" t="s">
        <v>2</v>
      </c>
      <c r="D64" s="23" t="s">
        <v>3</v>
      </c>
      <c r="F64" s="13" t="s">
        <v>23</v>
      </c>
      <c r="G64" s="14">
        <v>74000</v>
      </c>
      <c r="H64" s="14" t="s">
        <v>37</v>
      </c>
      <c r="I64" s="14"/>
      <c r="J64" s="14">
        <v>1</v>
      </c>
      <c r="K64" s="14">
        <v>1</v>
      </c>
      <c r="L64" s="14"/>
      <c r="M64" s="15">
        <f>G64*J64</f>
        <v>74000</v>
      </c>
      <c r="N64" s="16">
        <f>G64</f>
        <v>74000</v>
      </c>
      <c r="O64" s="13" t="s">
        <v>38</v>
      </c>
    </row>
    <row r="65" spans="1:14" s="13" customFormat="1">
      <c r="A65" s="13" t="s">
        <v>0</v>
      </c>
      <c r="B65" s="11"/>
      <c r="C65" s="11" t="s">
        <v>72</v>
      </c>
      <c r="D65" s="23"/>
      <c r="G65" s="14">
        <v>59200</v>
      </c>
      <c r="H65" s="14"/>
      <c r="I65" s="14"/>
      <c r="J65" s="14"/>
      <c r="K65" s="14"/>
      <c r="L65" s="14"/>
      <c r="M65" s="15"/>
      <c r="N65" s="16">
        <f>G65</f>
        <v>59200</v>
      </c>
    </row>
    <row r="66" spans="1:14">
      <c r="B66" t="s">
        <v>73</v>
      </c>
    </row>
    <row r="69" spans="1:14">
      <c r="A69" t="s">
        <v>74</v>
      </c>
      <c r="N69" s="22">
        <f>SUM(N64:N68)</f>
        <v>133200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E198-3A0C-4A2F-BC99-B2EB8B8568D9}">
  <sheetPr>
    <tabColor theme="9" tint="0.59999389629810485"/>
  </sheetPr>
  <dimension ref="A2:W39"/>
  <sheetViews>
    <sheetView workbookViewId="0">
      <selection activeCell="W7" sqref="W7"/>
    </sheetView>
  </sheetViews>
  <sheetFormatPr defaultRowHeight="15"/>
  <cols>
    <col min="5" max="5" width="11.42578125" customWidth="1"/>
    <col min="16" max="16" width="10.28515625" bestFit="1" customWidth="1"/>
    <col min="18" max="18" width="11.28515625" bestFit="1" customWidth="1"/>
    <col min="20" max="20" width="15.28515625" customWidth="1"/>
    <col min="21" max="22" width="13.140625" customWidth="1"/>
    <col min="23" max="23" width="17.28515625" bestFit="1" customWidth="1"/>
  </cols>
  <sheetData>
    <row r="2" spans="1:23" ht="15.75">
      <c r="H2" s="111" t="s">
        <v>75</v>
      </c>
    </row>
    <row r="4" spans="1:2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3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3">
      <c r="A6" s="57" t="s">
        <v>76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9"/>
      <c r="O6" s="56"/>
      <c r="P6" s="56"/>
      <c r="Q6" s="56"/>
      <c r="R6" s="56"/>
      <c r="S6" s="56"/>
      <c r="T6" s="56"/>
      <c r="U6" s="56"/>
      <c r="V6" s="56"/>
      <c r="W6" s="56"/>
    </row>
    <row r="7" spans="1:23" ht="72.75">
      <c r="A7" s="60" t="s">
        <v>77</v>
      </c>
      <c r="B7" s="61" t="s">
        <v>78</v>
      </c>
      <c r="C7" s="61" t="s">
        <v>79</v>
      </c>
      <c r="D7" s="61" t="s">
        <v>80</v>
      </c>
      <c r="E7" s="90" t="s">
        <v>81</v>
      </c>
      <c r="F7" s="61" t="s">
        <v>82</v>
      </c>
      <c r="G7" s="61" t="s">
        <v>83</v>
      </c>
      <c r="H7" s="61"/>
      <c r="I7" s="61" t="s">
        <v>84</v>
      </c>
      <c r="J7" s="61" t="s">
        <v>85</v>
      </c>
      <c r="K7" s="61" t="s">
        <v>86</v>
      </c>
      <c r="L7" s="61" t="s">
        <v>87</v>
      </c>
      <c r="M7" s="61" t="s">
        <v>88</v>
      </c>
      <c r="N7" s="61" t="s">
        <v>89</v>
      </c>
      <c r="O7" s="56"/>
      <c r="P7" s="62" t="s">
        <v>90</v>
      </c>
      <c r="Q7" s="62" t="s">
        <v>91</v>
      </c>
      <c r="R7" s="62" t="s">
        <v>92</v>
      </c>
      <c r="S7" s="56"/>
      <c r="T7" s="98" t="s">
        <v>93</v>
      </c>
      <c r="U7" s="98" t="s">
        <v>94</v>
      </c>
      <c r="V7" s="98" t="s">
        <v>95</v>
      </c>
      <c r="W7" s="112" t="s">
        <v>96</v>
      </c>
    </row>
    <row r="8" spans="1:23">
      <c r="A8" s="63" t="s">
        <v>20</v>
      </c>
      <c r="B8" s="65">
        <v>23</v>
      </c>
      <c r="C8" s="66" t="s">
        <v>97</v>
      </c>
      <c r="D8" s="66" t="s">
        <v>98</v>
      </c>
      <c r="E8" s="67" t="s">
        <v>99</v>
      </c>
      <c r="F8" s="68">
        <v>32</v>
      </c>
      <c r="G8" s="68">
        <v>8</v>
      </c>
      <c r="H8" s="68"/>
      <c r="I8" s="66" t="s">
        <v>100</v>
      </c>
      <c r="J8" s="66" t="s">
        <v>101</v>
      </c>
      <c r="K8" s="66">
        <v>3000</v>
      </c>
      <c r="L8" s="66">
        <v>125</v>
      </c>
      <c r="M8" s="66">
        <v>50</v>
      </c>
      <c r="N8" s="66" t="s">
        <v>102</v>
      </c>
      <c r="O8" s="56"/>
      <c r="P8" s="69">
        <f>72*B8</f>
        <v>1656</v>
      </c>
      <c r="Q8" s="70">
        <v>3</v>
      </c>
      <c r="R8" s="69">
        <f>SUM(P8:Q8)*12</f>
        <v>19908</v>
      </c>
      <c r="S8" s="56"/>
      <c r="T8" s="69">
        <f>$E$35*(1-$E$39)</f>
        <v>14400</v>
      </c>
      <c r="U8" s="106">
        <f>$E$37*(24*265)*(1-$E$39)</f>
        <v>508.8</v>
      </c>
      <c r="V8" s="108"/>
      <c r="W8" s="56"/>
    </row>
    <row r="9" spans="1:23">
      <c r="A9" s="64"/>
      <c r="B9" s="65">
        <v>6</v>
      </c>
      <c r="C9" s="66" t="s">
        <v>97</v>
      </c>
      <c r="D9" s="66" t="s">
        <v>98</v>
      </c>
      <c r="E9" s="67" t="s">
        <v>103</v>
      </c>
      <c r="F9" s="68">
        <v>8</v>
      </c>
      <c r="G9" s="68">
        <v>4</v>
      </c>
      <c r="H9" s="68"/>
      <c r="I9" s="66" t="s">
        <v>100</v>
      </c>
      <c r="J9" s="66" t="s">
        <v>101</v>
      </c>
      <c r="K9" s="66">
        <v>3000</v>
      </c>
      <c r="L9" s="66">
        <v>125</v>
      </c>
      <c r="M9" s="66">
        <v>20</v>
      </c>
      <c r="N9" s="66" t="s">
        <v>104</v>
      </c>
      <c r="O9" s="56"/>
      <c r="P9" s="69">
        <f>28*B9</f>
        <v>168</v>
      </c>
      <c r="Q9" s="70">
        <v>1.2</v>
      </c>
      <c r="R9" s="69">
        <f t="shared" ref="R9:R17" si="0">SUM(P9:Q9)*12</f>
        <v>2030.3999999999999</v>
      </c>
      <c r="S9" s="56"/>
      <c r="T9" s="69">
        <f t="shared" ref="T9:T16" si="1">$E$35*(1-$E$39)</f>
        <v>14400</v>
      </c>
      <c r="U9" s="105"/>
      <c r="V9" s="109"/>
      <c r="W9" s="56"/>
    </row>
    <row r="10" spans="1:23">
      <c r="A10" s="63" t="s">
        <v>105</v>
      </c>
      <c r="B10" s="71">
        <v>4</v>
      </c>
      <c r="C10" s="66" t="s">
        <v>97</v>
      </c>
      <c r="D10" s="66" t="s">
        <v>98</v>
      </c>
      <c r="E10" s="67" t="s">
        <v>106</v>
      </c>
      <c r="F10" s="72">
        <v>16</v>
      </c>
      <c r="G10" s="72">
        <v>4</v>
      </c>
      <c r="H10" s="72"/>
      <c r="I10" s="66" t="s">
        <v>100</v>
      </c>
      <c r="J10" s="66" t="s">
        <v>101</v>
      </c>
      <c r="K10" s="66">
        <v>3000</v>
      </c>
      <c r="L10" s="66">
        <v>125</v>
      </c>
      <c r="M10" s="66">
        <v>50</v>
      </c>
      <c r="N10" s="66" t="s">
        <v>102</v>
      </c>
      <c r="O10" s="56"/>
      <c r="P10" s="69">
        <f>36*B10</f>
        <v>144</v>
      </c>
      <c r="Q10" s="70">
        <v>3</v>
      </c>
      <c r="R10" s="69">
        <f t="shared" si="0"/>
        <v>1764</v>
      </c>
      <c r="S10" s="56"/>
      <c r="T10" s="69">
        <f t="shared" si="1"/>
        <v>14400</v>
      </c>
      <c r="U10" s="106">
        <f t="shared" ref="U10:U17" si="2">$E$37*(24*265)*(1-$E$39)</f>
        <v>508.8</v>
      </c>
      <c r="V10" s="108"/>
      <c r="W10" s="56"/>
    </row>
    <row r="11" spans="1:23">
      <c r="A11" s="64"/>
      <c r="B11" s="71">
        <v>3</v>
      </c>
      <c r="C11" s="66" t="s">
        <v>97</v>
      </c>
      <c r="D11" s="66" t="s">
        <v>98</v>
      </c>
      <c r="E11" s="67" t="s">
        <v>103</v>
      </c>
      <c r="F11" s="72">
        <v>8</v>
      </c>
      <c r="G11" s="72">
        <v>4</v>
      </c>
      <c r="H11" s="72"/>
      <c r="I11" s="66" t="s">
        <v>100</v>
      </c>
      <c r="J11" s="66" t="s">
        <v>101</v>
      </c>
      <c r="K11" s="66">
        <v>3000</v>
      </c>
      <c r="L11" s="66">
        <v>125</v>
      </c>
      <c r="M11" s="66">
        <v>20</v>
      </c>
      <c r="N11" s="66" t="s">
        <v>104</v>
      </c>
      <c r="O11" s="56"/>
      <c r="P11" s="69">
        <f>28*B11</f>
        <v>84</v>
      </c>
      <c r="Q11" s="69">
        <v>1.2</v>
      </c>
      <c r="R11" s="69">
        <f t="shared" si="0"/>
        <v>1022.4000000000001</v>
      </c>
      <c r="S11" s="56"/>
      <c r="T11" s="69">
        <f t="shared" si="1"/>
        <v>14400</v>
      </c>
      <c r="U11" s="105"/>
      <c r="V11" s="109"/>
      <c r="W11" s="56"/>
    </row>
    <row r="12" spans="1:23">
      <c r="A12" s="63" t="s">
        <v>107</v>
      </c>
      <c r="B12" s="73">
        <v>4</v>
      </c>
      <c r="C12" s="66" t="s">
        <v>97</v>
      </c>
      <c r="D12" s="66" t="s">
        <v>98</v>
      </c>
      <c r="E12" s="67" t="s">
        <v>106</v>
      </c>
      <c r="F12" s="74">
        <v>16</v>
      </c>
      <c r="G12" s="74">
        <v>4</v>
      </c>
      <c r="H12" s="74"/>
      <c r="I12" s="66" t="s">
        <v>100</v>
      </c>
      <c r="J12" s="66" t="s">
        <v>101</v>
      </c>
      <c r="K12" s="66">
        <v>3000</v>
      </c>
      <c r="L12" s="66">
        <v>125</v>
      </c>
      <c r="M12" s="66">
        <v>50</v>
      </c>
      <c r="N12" s="66" t="s">
        <v>102</v>
      </c>
      <c r="O12" s="56"/>
      <c r="P12" s="69">
        <f>36*B12</f>
        <v>144</v>
      </c>
      <c r="Q12" s="69">
        <v>3</v>
      </c>
      <c r="R12" s="69">
        <f t="shared" si="0"/>
        <v>1764</v>
      </c>
      <c r="S12" s="56"/>
      <c r="T12" s="69">
        <f t="shared" si="1"/>
        <v>14400</v>
      </c>
      <c r="U12" s="106">
        <f t="shared" ref="U12:U17" si="3">$E$37*(24*265)*(1-$E$39)</f>
        <v>508.8</v>
      </c>
      <c r="V12" s="108"/>
      <c r="W12" s="56"/>
    </row>
    <row r="13" spans="1:23">
      <c r="A13" s="64"/>
      <c r="B13" s="73">
        <v>3</v>
      </c>
      <c r="C13" s="66" t="s">
        <v>97</v>
      </c>
      <c r="D13" s="66" t="s">
        <v>98</v>
      </c>
      <c r="E13" s="67" t="s">
        <v>103</v>
      </c>
      <c r="F13" s="74">
        <v>8</v>
      </c>
      <c r="G13" s="74">
        <v>4</v>
      </c>
      <c r="H13" s="74"/>
      <c r="I13" s="66" t="s">
        <v>100</v>
      </c>
      <c r="J13" s="66" t="s">
        <v>101</v>
      </c>
      <c r="K13" s="66">
        <v>3000</v>
      </c>
      <c r="L13" s="66">
        <v>125</v>
      </c>
      <c r="M13" s="66">
        <v>20</v>
      </c>
      <c r="N13" s="66" t="s">
        <v>104</v>
      </c>
      <c r="O13" s="56"/>
      <c r="P13" s="69">
        <f>28*B13</f>
        <v>84</v>
      </c>
      <c r="Q13" s="69">
        <v>1.2</v>
      </c>
      <c r="R13" s="69">
        <f t="shared" si="0"/>
        <v>1022.4000000000001</v>
      </c>
      <c r="S13" s="56"/>
      <c r="T13" s="69">
        <f t="shared" si="1"/>
        <v>14400</v>
      </c>
      <c r="U13" s="105"/>
      <c r="V13" s="109"/>
      <c r="W13" s="56"/>
    </row>
    <row r="14" spans="1:23">
      <c r="A14" s="63" t="s">
        <v>108</v>
      </c>
      <c r="B14" s="75">
        <v>3</v>
      </c>
      <c r="C14" s="66" t="s">
        <v>97</v>
      </c>
      <c r="D14" s="66" t="s">
        <v>98</v>
      </c>
      <c r="E14" s="67" t="s">
        <v>106</v>
      </c>
      <c r="F14" s="76">
        <v>16</v>
      </c>
      <c r="G14" s="76">
        <v>4</v>
      </c>
      <c r="H14" s="76"/>
      <c r="I14" s="66" t="s">
        <v>100</v>
      </c>
      <c r="J14" s="66" t="s">
        <v>101</v>
      </c>
      <c r="K14" s="66">
        <v>3000</v>
      </c>
      <c r="L14" s="66">
        <v>125</v>
      </c>
      <c r="M14" s="66">
        <v>50</v>
      </c>
      <c r="N14" s="66" t="s">
        <v>102</v>
      </c>
      <c r="O14" s="56"/>
      <c r="P14" s="69">
        <f>36*B14</f>
        <v>108</v>
      </c>
      <c r="Q14" s="69">
        <v>3</v>
      </c>
      <c r="R14" s="69">
        <f t="shared" si="0"/>
        <v>1332</v>
      </c>
      <c r="S14" s="56"/>
      <c r="T14" s="69">
        <f t="shared" si="1"/>
        <v>14400</v>
      </c>
      <c r="U14" s="106">
        <f t="shared" ref="U14:U17" si="4">$E$37*(24*265)*(1-$E$39)</f>
        <v>508.8</v>
      </c>
      <c r="V14" s="108"/>
      <c r="W14" s="56"/>
    </row>
    <row r="15" spans="1:23">
      <c r="A15" s="64"/>
      <c r="B15" s="75">
        <v>3</v>
      </c>
      <c r="C15" s="66" t="s">
        <v>97</v>
      </c>
      <c r="D15" s="66" t="s">
        <v>98</v>
      </c>
      <c r="E15" s="67" t="s">
        <v>103</v>
      </c>
      <c r="F15" s="76">
        <v>8</v>
      </c>
      <c r="G15" s="76">
        <v>4</v>
      </c>
      <c r="H15" s="76"/>
      <c r="I15" s="66" t="s">
        <v>100</v>
      </c>
      <c r="J15" s="66" t="s">
        <v>101</v>
      </c>
      <c r="K15" s="66">
        <v>3000</v>
      </c>
      <c r="L15" s="66">
        <v>125</v>
      </c>
      <c r="M15" s="66">
        <v>20</v>
      </c>
      <c r="N15" s="66" t="s">
        <v>104</v>
      </c>
      <c r="O15" s="56"/>
      <c r="P15" s="69">
        <f>28*B15</f>
        <v>84</v>
      </c>
      <c r="Q15" s="69">
        <v>1.2</v>
      </c>
      <c r="R15" s="69">
        <f t="shared" si="0"/>
        <v>1022.4000000000001</v>
      </c>
      <c r="S15" s="56"/>
      <c r="T15" s="69">
        <f t="shared" si="1"/>
        <v>14400</v>
      </c>
      <c r="U15" s="105"/>
      <c r="V15" s="109"/>
      <c r="W15" s="56"/>
    </row>
    <row r="16" spans="1:23">
      <c r="A16" s="63" t="s">
        <v>109</v>
      </c>
      <c r="B16" s="77">
        <v>4</v>
      </c>
      <c r="C16" s="78" t="s">
        <v>97</v>
      </c>
      <c r="D16" s="66" t="s">
        <v>98</v>
      </c>
      <c r="E16" s="67" t="s">
        <v>106</v>
      </c>
      <c r="F16" s="79">
        <v>16</v>
      </c>
      <c r="G16" s="79">
        <v>4</v>
      </c>
      <c r="H16" s="79"/>
      <c r="I16" s="66" t="s">
        <v>100</v>
      </c>
      <c r="J16" s="66" t="s">
        <v>101</v>
      </c>
      <c r="K16" s="66">
        <v>3000</v>
      </c>
      <c r="L16" s="66">
        <v>125</v>
      </c>
      <c r="M16" s="66">
        <v>50</v>
      </c>
      <c r="N16" s="66" t="s">
        <v>102</v>
      </c>
      <c r="O16" s="56"/>
      <c r="P16" s="69">
        <f>36*B16</f>
        <v>144</v>
      </c>
      <c r="Q16" s="69">
        <v>3</v>
      </c>
      <c r="R16" s="69">
        <f t="shared" si="0"/>
        <v>1764</v>
      </c>
      <c r="S16" s="56"/>
      <c r="T16" s="69">
        <f t="shared" si="1"/>
        <v>14400</v>
      </c>
      <c r="U16" s="106">
        <f t="shared" ref="U16:U17" si="5">$E$37*(24*265)*(1-$E$39)</f>
        <v>508.8</v>
      </c>
      <c r="V16" s="108"/>
      <c r="W16" s="56"/>
    </row>
    <row r="17" spans="1:23">
      <c r="A17" s="64"/>
      <c r="B17" s="77">
        <v>3</v>
      </c>
      <c r="C17" s="78" t="s">
        <v>97</v>
      </c>
      <c r="D17" s="66" t="s">
        <v>98</v>
      </c>
      <c r="E17" s="67" t="s">
        <v>103</v>
      </c>
      <c r="F17" s="79">
        <v>8</v>
      </c>
      <c r="G17" s="79">
        <v>4</v>
      </c>
      <c r="H17" s="79"/>
      <c r="I17" s="66" t="s">
        <v>100</v>
      </c>
      <c r="J17" s="66" t="s">
        <v>101</v>
      </c>
      <c r="K17" s="66">
        <v>3000</v>
      </c>
      <c r="L17" s="66">
        <v>125</v>
      </c>
      <c r="M17" s="66">
        <v>20</v>
      </c>
      <c r="N17" s="66" t="s">
        <v>104</v>
      </c>
      <c r="O17" s="56"/>
      <c r="P17" s="69">
        <f>28*B17</f>
        <v>84</v>
      </c>
      <c r="Q17" s="69">
        <v>1.2</v>
      </c>
      <c r="R17" s="69">
        <f t="shared" si="0"/>
        <v>1022.4000000000001</v>
      </c>
      <c r="S17" s="56"/>
      <c r="T17" s="69">
        <f>$E$35*(1-$E$39)</f>
        <v>14400</v>
      </c>
      <c r="U17" s="105"/>
      <c r="V17" s="109"/>
      <c r="W17" s="56"/>
    </row>
    <row r="18" spans="1:23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</row>
    <row r="19" spans="1:23" ht="2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69">
        <f>SUM(R8:R17)</f>
        <v>32652.000000000007</v>
      </c>
      <c r="S19" s="56"/>
      <c r="T19" s="69">
        <f>SUM(T8:T17)</f>
        <v>144000</v>
      </c>
      <c r="U19" s="107">
        <f>SUM(U8:U17)</f>
        <v>2544</v>
      </c>
      <c r="V19" s="107">
        <f>2000*12</f>
        <v>24000</v>
      </c>
      <c r="W19" s="89">
        <f>R19+T19+U19+V19</f>
        <v>203196</v>
      </c>
    </row>
    <row r="20" spans="1:23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</row>
    <row r="21" spans="1:2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</row>
    <row r="22" spans="1:2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spans="1:23">
      <c r="A23" s="56"/>
      <c r="B23" s="80" t="s">
        <v>110</v>
      </c>
      <c r="C23" s="81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</row>
    <row r="24" spans="1:23">
      <c r="A24" s="56"/>
      <c r="B24" s="82" t="s">
        <v>83</v>
      </c>
      <c r="C24" s="83" t="s">
        <v>82</v>
      </c>
      <c r="D24" s="83" t="s">
        <v>111</v>
      </c>
      <c r="E24" s="83" t="s">
        <v>112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</row>
    <row r="25" spans="1:23">
      <c r="A25" s="56"/>
      <c r="B25" s="78">
        <v>4</v>
      </c>
      <c r="C25" s="66">
        <v>8</v>
      </c>
      <c r="D25" s="66" t="s">
        <v>113</v>
      </c>
      <c r="E25" s="84">
        <v>28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</row>
    <row r="26" spans="1:23">
      <c r="A26" s="56"/>
      <c r="B26" s="78">
        <v>4</v>
      </c>
      <c r="C26" s="66">
        <v>16</v>
      </c>
      <c r="D26" s="66" t="s">
        <v>114</v>
      </c>
      <c r="E26" s="84">
        <v>36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7" spans="1:23">
      <c r="A27" s="56"/>
      <c r="B27" s="78">
        <v>8</v>
      </c>
      <c r="C27" s="66">
        <v>32</v>
      </c>
      <c r="D27" s="66" t="s">
        <v>115</v>
      </c>
      <c r="E27" s="84">
        <v>72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spans="1:23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</row>
    <row r="29" spans="1:23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</row>
    <row r="30" spans="1:23">
      <c r="A30" s="56"/>
      <c r="B30" s="56"/>
      <c r="C30" s="56"/>
      <c r="D30" s="82" t="s">
        <v>116</v>
      </c>
      <c r="E30" s="83" t="s">
        <v>117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</row>
    <row r="31" spans="1:23">
      <c r="A31" s="56"/>
      <c r="B31" s="56"/>
      <c r="C31" s="56"/>
      <c r="D31" s="78">
        <v>50</v>
      </c>
      <c r="E31" s="84">
        <v>3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</row>
    <row r="32" spans="1:23">
      <c r="A32" s="56"/>
      <c r="B32" s="56"/>
      <c r="C32" s="56"/>
      <c r="D32" s="78">
        <v>20</v>
      </c>
      <c r="E32" s="84">
        <v>1.2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</row>
    <row r="33" spans="1:2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</row>
    <row r="34" spans="1:23">
      <c r="A34" s="56"/>
      <c r="B34" s="80" t="s">
        <v>118</v>
      </c>
      <c r="C34" s="81"/>
      <c r="D34" s="81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</row>
    <row r="35" spans="1:23">
      <c r="A35" s="56"/>
      <c r="B35" s="99" t="s">
        <v>119</v>
      </c>
      <c r="C35" s="99"/>
      <c r="D35" s="99"/>
      <c r="E35" s="100">
        <v>18000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</row>
    <row r="36" spans="1:23">
      <c r="A36" s="56"/>
      <c r="B36" s="102"/>
      <c r="C36" s="102"/>
      <c r="D36" s="102"/>
      <c r="E36" s="103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</row>
    <row r="37" spans="1:23" ht="15" customHeight="1">
      <c r="A37" s="56"/>
      <c r="B37" s="101" t="s">
        <v>120</v>
      </c>
      <c r="C37" s="101"/>
      <c r="D37" s="101"/>
      <c r="E37" s="104">
        <v>0.1</v>
      </c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</row>
    <row r="38" spans="1:23">
      <c r="A38" s="56"/>
      <c r="B38" s="101"/>
      <c r="C38" s="101"/>
      <c r="D38" s="101"/>
      <c r="E38" s="104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</row>
    <row r="39" spans="1:23">
      <c r="B39" t="s">
        <v>121</v>
      </c>
      <c r="E39" s="91">
        <v>0.2</v>
      </c>
    </row>
  </sheetData>
  <mergeCells count="15">
    <mergeCell ref="B35:D36"/>
    <mergeCell ref="E35:E36"/>
    <mergeCell ref="B37:D38"/>
    <mergeCell ref="E37:E38"/>
    <mergeCell ref="U8:U9"/>
    <mergeCell ref="U10:U11"/>
    <mergeCell ref="U12:U13"/>
    <mergeCell ref="U14:U15"/>
    <mergeCell ref="U16:U17"/>
    <mergeCell ref="A6:N6"/>
    <mergeCell ref="A8:A9"/>
    <mergeCell ref="A10:A11"/>
    <mergeCell ref="A12:A13"/>
    <mergeCell ref="A14:A15"/>
    <mergeCell ref="A16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59BF-C6F9-4FA0-A1B7-97882D27F02E}">
  <sheetPr>
    <tabColor theme="8" tint="0.59999389629810485"/>
  </sheetPr>
  <dimension ref="B3"/>
  <sheetViews>
    <sheetView workbookViewId="0">
      <selection activeCell="B36" sqref="B36"/>
    </sheetView>
  </sheetViews>
  <sheetFormatPr defaultRowHeight="15"/>
  <cols>
    <col min="2" max="2" width="92.42578125" customWidth="1"/>
  </cols>
  <sheetData>
    <row r="3" spans="2:2">
      <c r="B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A769-0797-4ADA-BE94-9A58122397C0}">
  <sheetPr>
    <tabColor theme="8" tint="0.59999389629810485"/>
  </sheetPr>
  <dimension ref="A1:O60"/>
  <sheetViews>
    <sheetView zoomScale="66" zoomScaleNormal="66" workbookViewId="0">
      <selection activeCell="F2" sqref="F2"/>
    </sheetView>
  </sheetViews>
  <sheetFormatPr defaultRowHeight="15"/>
  <cols>
    <col min="1" max="1" width="21.42578125" customWidth="1"/>
    <col min="2" max="2" width="39.85546875" customWidth="1"/>
    <col min="3" max="3" width="92" customWidth="1"/>
    <col min="4" max="4" width="25.28515625" customWidth="1"/>
    <col min="5" max="5" width="22" bestFit="1" customWidth="1"/>
    <col min="6" max="6" width="22.85546875" bestFit="1" customWidth="1"/>
    <col min="7" max="7" width="13.140625" style="5" bestFit="1" customWidth="1"/>
    <col min="8" max="8" width="15.5703125" style="5" bestFit="1" customWidth="1"/>
    <col min="9" max="9" width="15.7109375" style="5" customWidth="1"/>
    <col min="10" max="10" width="11" style="5" bestFit="1" customWidth="1"/>
    <col min="11" max="11" width="22.140625" style="5" bestFit="1" customWidth="1"/>
    <col min="12" max="12" width="12.85546875" style="5" customWidth="1"/>
    <col min="13" max="14" width="20.85546875" style="6" customWidth="1"/>
    <col min="15" max="15" width="37.5703125" bestFit="1" customWidth="1"/>
  </cols>
  <sheetData>
    <row r="1" spans="1:15">
      <c r="A1" s="1" t="s">
        <v>123</v>
      </c>
      <c r="C1" s="48" t="s">
        <v>6</v>
      </c>
      <c r="E1" s="2" t="s">
        <v>7</v>
      </c>
      <c r="F1" s="2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4" t="s">
        <v>15</v>
      </c>
      <c r="N1" s="4" t="s">
        <v>16</v>
      </c>
      <c r="O1" s="3" t="s">
        <v>17</v>
      </c>
    </row>
    <row r="2" spans="1:15">
      <c r="A2" s="93" t="s">
        <v>18</v>
      </c>
      <c r="B2" s="93"/>
      <c r="C2" s="93" t="s">
        <v>19</v>
      </c>
      <c r="D2" s="93"/>
      <c r="E2" s="93"/>
      <c r="F2" s="94">
        <f>('EKS Hybrid'!T18+'EKS Hybrid'!U18+'EKS Hybrid'!V18+'EKS Hybrid'!W18)</f>
        <v>59430.159999999996</v>
      </c>
    </row>
    <row r="4" spans="1:15">
      <c r="A4" s="95" t="s">
        <v>20</v>
      </c>
      <c r="B4" s="95" t="s">
        <v>21</v>
      </c>
      <c r="C4" s="95" t="s">
        <v>22</v>
      </c>
      <c r="D4" s="95"/>
      <c r="E4" s="95"/>
      <c r="F4" s="95" t="s">
        <v>23</v>
      </c>
      <c r="M4" s="7">
        <f>G4*J4</f>
        <v>0</v>
      </c>
      <c r="N4" s="8">
        <f>M4*12</f>
        <v>0</v>
      </c>
    </row>
    <row r="5" spans="1:15">
      <c r="A5" s="95" t="s">
        <v>25</v>
      </c>
      <c r="B5" s="95" t="s">
        <v>21</v>
      </c>
      <c r="C5" s="95" t="s">
        <v>22</v>
      </c>
      <c r="D5" s="95"/>
      <c r="E5" s="95"/>
      <c r="F5" s="95" t="s">
        <v>23</v>
      </c>
      <c r="G5" s="9"/>
      <c r="H5" s="9"/>
      <c r="M5" s="7">
        <f>G5*J5</f>
        <v>0</v>
      </c>
      <c r="N5" s="8">
        <f>M5*12</f>
        <v>0</v>
      </c>
    </row>
    <row r="6" spans="1:15">
      <c r="A6" s="95" t="s">
        <v>20</v>
      </c>
      <c r="B6" s="95" t="s">
        <v>26</v>
      </c>
      <c r="C6" s="95" t="s">
        <v>27</v>
      </c>
      <c r="D6" s="95"/>
      <c r="E6" s="95" t="s">
        <v>28</v>
      </c>
      <c r="F6" s="95" t="s">
        <v>23</v>
      </c>
      <c r="G6" s="9"/>
      <c r="H6" s="9"/>
      <c r="M6" s="8">
        <f>N6/12</f>
        <v>0</v>
      </c>
      <c r="N6" s="10">
        <f>G6*J6*K6</f>
        <v>0</v>
      </c>
    </row>
    <row r="7" spans="1:15">
      <c r="A7" s="95" t="s">
        <v>25</v>
      </c>
      <c r="B7" s="95" t="s">
        <v>26</v>
      </c>
      <c r="C7" s="95" t="s">
        <v>27</v>
      </c>
      <c r="D7" s="95"/>
      <c r="E7" s="95" t="s">
        <v>28</v>
      </c>
      <c r="F7" s="95" t="s">
        <v>23</v>
      </c>
      <c r="G7" s="9"/>
      <c r="H7" s="9"/>
      <c r="M7" s="8">
        <f>N7/12</f>
        <v>0</v>
      </c>
      <c r="N7" s="10">
        <f>G7*J7*K7</f>
        <v>0</v>
      </c>
    </row>
    <row r="8" spans="1:15">
      <c r="A8" s="95" t="s">
        <v>20</v>
      </c>
      <c r="B8" s="96" t="s">
        <v>29</v>
      </c>
      <c r="C8" s="95" t="s">
        <v>30</v>
      </c>
      <c r="D8" s="95"/>
      <c r="E8" s="95"/>
      <c r="F8" s="95" t="s">
        <v>23</v>
      </c>
      <c r="G8" s="9"/>
      <c r="H8" s="9"/>
      <c r="M8" s="12">
        <f>G8</f>
        <v>0</v>
      </c>
      <c r="N8" s="8">
        <f>M8*12</f>
        <v>0</v>
      </c>
    </row>
    <row r="9" spans="1:15">
      <c r="A9" s="95" t="s">
        <v>25</v>
      </c>
      <c r="B9" s="96" t="s">
        <v>29</v>
      </c>
      <c r="C9" s="95" t="s">
        <v>30</v>
      </c>
      <c r="D9" s="95"/>
      <c r="E9" s="95"/>
      <c r="F9" s="95" t="s">
        <v>23</v>
      </c>
      <c r="G9" s="9"/>
      <c r="H9" s="9"/>
      <c r="M9" s="12">
        <f>G9</f>
        <v>0</v>
      </c>
      <c r="N9" s="8">
        <f>M9*12</f>
        <v>0</v>
      </c>
    </row>
    <row r="10" spans="1:15">
      <c r="B10" s="11"/>
      <c r="G10"/>
      <c r="H10"/>
      <c r="M10" s="12"/>
      <c r="N10" s="8"/>
    </row>
    <row r="11" spans="1:15">
      <c r="B11" s="11"/>
      <c r="G11"/>
      <c r="H11"/>
      <c r="M11" s="12"/>
      <c r="N11" s="8"/>
    </row>
    <row r="14" spans="1:15">
      <c r="A14" s="93" t="s">
        <v>36</v>
      </c>
      <c r="B14" s="93"/>
      <c r="C14" s="93" t="s">
        <v>19</v>
      </c>
      <c r="D14" s="93"/>
      <c r="E14" s="93"/>
      <c r="F14" s="94">
        <f>'EKS Hybrid'!R18</f>
        <v>32652.000000000007</v>
      </c>
    </row>
    <row r="16" spans="1:15">
      <c r="A16" s="95" t="s">
        <v>20</v>
      </c>
      <c r="B16" s="95"/>
      <c r="C16" s="95"/>
      <c r="D16" s="95"/>
      <c r="E16" s="95"/>
      <c r="F16" s="97" t="s">
        <v>23</v>
      </c>
      <c r="G16" s="14"/>
      <c r="H16" s="14" t="s">
        <v>37</v>
      </c>
      <c r="I16" s="14"/>
      <c r="J16" s="14"/>
      <c r="K16" s="14"/>
      <c r="L16" s="14"/>
      <c r="M16" s="15">
        <f>G16*J16</f>
        <v>0</v>
      </c>
      <c r="N16" s="16">
        <f>M16*12</f>
        <v>0</v>
      </c>
      <c r="O16" s="13"/>
    </row>
    <row r="17" spans="1:14">
      <c r="A17" s="95" t="s">
        <v>25</v>
      </c>
      <c r="B17" s="95"/>
      <c r="C17" s="95"/>
      <c r="D17" s="95"/>
      <c r="E17" s="95"/>
      <c r="F17" s="95"/>
    </row>
    <row r="19" spans="1:14">
      <c r="A19" s="2" t="s">
        <v>39</v>
      </c>
    </row>
    <row r="21" spans="1:14">
      <c r="A21" t="s">
        <v>20</v>
      </c>
      <c r="B21" t="s">
        <v>40</v>
      </c>
      <c r="C21" t="s">
        <v>40</v>
      </c>
      <c r="E21" t="s">
        <v>41</v>
      </c>
      <c r="F21" t="s">
        <v>23</v>
      </c>
      <c r="G21" s="5">
        <v>352988.52</v>
      </c>
      <c r="H21" s="5" t="s">
        <v>42</v>
      </c>
      <c r="I21" s="17"/>
      <c r="M21" s="8">
        <f>N21/12</f>
        <v>29415.710000000003</v>
      </c>
      <c r="N21" s="10">
        <f>G21</f>
        <v>352988.52</v>
      </c>
    </row>
    <row r="22" spans="1:14">
      <c r="A22" t="s">
        <v>25</v>
      </c>
      <c r="B22" t="s">
        <v>40</v>
      </c>
      <c r="C22" t="s">
        <v>40</v>
      </c>
      <c r="E22" t="s">
        <v>41</v>
      </c>
      <c r="F22" t="s">
        <v>23</v>
      </c>
      <c r="G22" s="5">
        <v>107383.44</v>
      </c>
      <c r="H22" s="5" t="s">
        <v>42</v>
      </c>
      <c r="M22" s="8">
        <f t="shared" ref="M22:M28" si="0">N22/12</f>
        <v>8948.6200000000008</v>
      </c>
      <c r="N22" s="10">
        <f>G22</f>
        <v>107383.44</v>
      </c>
    </row>
    <row r="23" spans="1:14">
      <c r="A23" t="s">
        <v>20</v>
      </c>
      <c r="B23" s="11" t="s">
        <v>43</v>
      </c>
      <c r="C23" t="s">
        <v>40</v>
      </c>
      <c r="E23" t="s">
        <v>41</v>
      </c>
      <c r="F23" t="s">
        <v>23</v>
      </c>
      <c r="G23" s="9"/>
      <c r="H23" s="9"/>
      <c r="I23" s="18"/>
      <c r="M23" s="8">
        <f t="shared" si="0"/>
        <v>0</v>
      </c>
      <c r="N23" s="10">
        <f t="shared" ref="N23:N28" si="1">G23*I23</f>
        <v>0</v>
      </c>
    </row>
    <row r="24" spans="1:14">
      <c r="A24" t="s">
        <v>25</v>
      </c>
      <c r="B24" s="11" t="s">
        <v>43</v>
      </c>
      <c r="C24" t="s">
        <v>40</v>
      </c>
      <c r="E24" t="s">
        <v>41</v>
      </c>
      <c r="F24" t="s">
        <v>23</v>
      </c>
      <c r="G24" s="9"/>
      <c r="H24" s="9"/>
      <c r="M24" s="8">
        <f t="shared" si="0"/>
        <v>0</v>
      </c>
      <c r="N24" s="10">
        <f t="shared" si="1"/>
        <v>0</v>
      </c>
    </row>
    <row r="25" spans="1:14">
      <c r="A25" t="s">
        <v>20</v>
      </c>
      <c r="B25" s="11" t="s">
        <v>44</v>
      </c>
      <c r="C25" t="s">
        <v>40</v>
      </c>
      <c r="E25" t="s">
        <v>41</v>
      </c>
      <c r="F25" t="s">
        <v>23</v>
      </c>
      <c r="G25" s="9"/>
      <c r="H25" s="9"/>
      <c r="I25" s="18"/>
      <c r="M25" s="8">
        <f t="shared" si="0"/>
        <v>0</v>
      </c>
      <c r="N25" s="10">
        <f t="shared" si="1"/>
        <v>0</v>
      </c>
    </row>
    <row r="26" spans="1:14">
      <c r="A26" t="s">
        <v>25</v>
      </c>
      <c r="B26" s="11" t="s">
        <v>44</v>
      </c>
      <c r="C26" t="s">
        <v>40</v>
      </c>
      <c r="E26" t="s">
        <v>41</v>
      </c>
      <c r="F26" t="s">
        <v>23</v>
      </c>
      <c r="G26" s="9"/>
      <c r="H26" s="9"/>
      <c r="M26" s="8">
        <f t="shared" si="0"/>
        <v>0</v>
      </c>
      <c r="N26" s="10">
        <f t="shared" si="1"/>
        <v>0</v>
      </c>
    </row>
    <row r="27" spans="1:14">
      <c r="A27" t="s">
        <v>20</v>
      </c>
      <c r="B27" s="11" t="s">
        <v>45</v>
      </c>
      <c r="C27" t="s">
        <v>40</v>
      </c>
      <c r="E27" t="s">
        <v>41</v>
      </c>
      <c r="F27" t="s">
        <v>23</v>
      </c>
      <c r="G27" s="9"/>
      <c r="H27" s="9"/>
      <c r="I27" s="18"/>
      <c r="M27" s="8">
        <f t="shared" si="0"/>
        <v>0</v>
      </c>
      <c r="N27" s="10">
        <f t="shared" si="1"/>
        <v>0</v>
      </c>
    </row>
    <row r="28" spans="1:14">
      <c r="A28" t="s">
        <v>25</v>
      </c>
      <c r="B28" s="11" t="s">
        <v>45</v>
      </c>
      <c r="C28" t="s">
        <v>40</v>
      </c>
      <c r="E28" t="s">
        <v>41</v>
      </c>
      <c r="F28" t="s">
        <v>23</v>
      </c>
      <c r="G28" s="9"/>
      <c r="H28" s="9"/>
      <c r="M28" s="8">
        <f t="shared" si="0"/>
        <v>0</v>
      </c>
      <c r="N28" s="10">
        <f t="shared" si="1"/>
        <v>0</v>
      </c>
    </row>
    <row r="31" spans="1:14">
      <c r="A31" s="2" t="s">
        <v>46</v>
      </c>
    </row>
    <row r="33" spans="1:15">
      <c r="A33" s="13" t="s">
        <v>20</v>
      </c>
      <c r="B33" s="13" t="s">
        <v>47</v>
      </c>
      <c r="C33" s="13" t="s">
        <v>48</v>
      </c>
      <c r="D33" s="14" t="b">
        <v>1</v>
      </c>
      <c r="E33" s="13"/>
      <c r="F33" s="13" t="s">
        <v>23</v>
      </c>
      <c r="G33" s="17">
        <f>41745.6*2</f>
        <v>83491.199999999997</v>
      </c>
      <c r="H33" s="14"/>
      <c r="I33" s="14"/>
      <c r="J33" s="14"/>
      <c r="K33" s="14"/>
      <c r="L33" s="14"/>
      <c r="M33" s="19">
        <f t="shared" ref="M33:M39" si="2">N33/12</f>
        <v>6957.5999999999995</v>
      </c>
      <c r="N33" s="20">
        <f>G33</f>
        <v>83491.199999999997</v>
      </c>
      <c r="O33" s="13"/>
    </row>
    <row r="34" spans="1:15">
      <c r="A34" s="13" t="s">
        <v>20</v>
      </c>
      <c r="B34" s="13" t="s">
        <v>50</v>
      </c>
      <c r="C34" s="13" t="s">
        <v>48</v>
      </c>
      <c r="D34" s="14" t="b">
        <v>0</v>
      </c>
      <c r="E34" s="13"/>
      <c r="F34" s="13" t="s">
        <v>23</v>
      </c>
      <c r="G34" s="17">
        <f>41745.6</f>
        <v>41745.599999999999</v>
      </c>
      <c r="H34" s="14"/>
      <c r="I34" s="14"/>
      <c r="J34" s="14"/>
      <c r="K34" s="14"/>
      <c r="L34" s="14"/>
      <c r="M34" s="19">
        <f t="shared" si="2"/>
        <v>3478.7999999999997</v>
      </c>
      <c r="N34" s="20">
        <f>G34</f>
        <v>41745.599999999999</v>
      </c>
      <c r="O34" s="13"/>
    </row>
    <row r="35" spans="1:15">
      <c r="A35" t="s">
        <v>25</v>
      </c>
      <c r="B35" t="s">
        <v>47</v>
      </c>
      <c r="C35" t="s">
        <v>40</v>
      </c>
      <c r="F35" t="s">
        <v>23</v>
      </c>
      <c r="G35" s="9"/>
      <c r="H35" s="9"/>
      <c r="M35" s="8">
        <f t="shared" si="2"/>
        <v>0</v>
      </c>
      <c r="N35" s="10">
        <f t="shared" ref="N35:N39" si="3">G35*I35</f>
        <v>0</v>
      </c>
    </row>
    <row r="36" spans="1:15">
      <c r="A36" t="s">
        <v>20</v>
      </c>
      <c r="B36" t="s">
        <v>52</v>
      </c>
      <c r="C36" t="s">
        <v>40</v>
      </c>
      <c r="F36" t="s">
        <v>23</v>
      </c>
      <c r="G36" s="9"/>
      <c r="H36" s="9"/>
      <c r="M36" s="8">
        <f t="shared" si="2"/>
        <v>0</v>
      </c>
      <c r="N36" s="10">
        <f t="shared" si="3"/>
        <v>0</v>
      </c>
    </row>
    <row r="37" spans="1:15">
      <c r="A37" t="s">
        <v>25</v>
      </c>
      <c r="B37" t="s">
        <v>52</v>
      </c>
      <c r="C37" t="s">
        <v>40</v>
      </c>
      <c r="F37" t="s">
        <v>23</v>
      </c>
      <c r="G37" s="9"/>
      <c r="H37" s="9"/>
      <c r="M37" s="8">
        <f t="shared" si="2"/>
        <v>0</v>
      </c>
      <c r="N37" s="10">
        <f t="shared" si="3"/>
        <v>0</v>
      </c>
    </row>
    <row r="38" spans="1:15">
      <c r="A38" t="s">
        <v>20</v>
      </c>
      <c r="B38" t="s">
        <v>53</v>
      </c>
      <c r="C38" t="s">
        <v>40</v>
      </c>
      <c r="F38" t="s">
        <v>23</v>
      </c>
      <c r="G38" s="9"/>
      <c r="H38" s="9"/>
      <c r="M38" s="8">
        <f t="shared" si="2"/>
        <v>0</v>
      </c>
      <c r="N38" s="10">
        <f t="shared" si="3"/>
        <v>0</v>
      </c>
    </row>
    <row r="39" spans="1:15">
      <c r="A39" t="s">
        <v>25</v>
      </c>
      <c r="B39" t="s">
        <v>53</v>
      </c>
      <c r="C39" t="s">
        <v>40</v>
      </c>
      <c r="F39" t="s">
        <v>23</v>
      </c>
      <c r="G39" s="9"/>
      <c r="H39" s="9"/>
      <c r="M39" s="8">
        <f t="shared" si="2"/>
        <v>0</v>
      </c>
      <c r="N39" s="10">
        <f t="shared" si="3"/>
        <v>0</v>
      </c>
    </row>
    <row r="42" spans="1:15">
      <c r="A42" s="2" t="s">
        <v>54</v>
      </c>
    </row>
    <row r="44" spans="1:15">
      <c r="A44" s="13" t="s">
        <v>55</v>
      </c>
      <c r="B44" s="13" t="s">
        <v>56</v>
      </c>
      <c r="C44" s="21"/>
      <c r="D44" s="21"/>
      <c r="G44" s="9"/>
      <c r="H44" s="9"/>
      <c r="M44" s="8">
        <f t="shared" ref="M44" si="4">N44/12</f>
        <v>0</v>
      </c>
      <c r="N44" s="10">
        <f t="shared" ref="N44" si="5">G44*I44</f>
        <v>0</v>
      </c>
    </row>
    <row r="45" spans="1:15">
      <c r="A45" t="s">
        <v>57</v>
      </c>
      <c r="B45" t="s">
        <v>58</v>
      </c>
      <c r="C45" t="s">
        <v>59</v>
      </c>
      <c r="E45" t="s">
        <v>60</v>
      </c>
    </row>
    <row r="46" spans="1:15">
      <c r="A46" t="s">
        <v>61</v>
      </c>
    </row>
    <row r="47" spans="1:15">
      <c r="A47" t="s">
        <v>62</v>
      </c>
    </row>
    <row r="48" spans="1:15">
      <c r="A48" t="s">
        <v>63</v>
      </c>
    </row>
    <row r="51" spans="1:14">
      <c r="A51" s="2" t="s">
        <v>64</v>
      </c>
    </row>
    <row r="53" spans="1:14">
      <c r="A53" t="s">
        <v>65</v>
      </c>
    </row>
    <row r="54" spans="1:14">
      <c r="A54" t="s">
        <v>66</v>
      </c>
    </row>
    <row r="56" spans="1:14">
      <c r="A56" s="2" t="s">
        <v>67</v>
      </c>
    </row>
    <row r="58" spans="1:14">
      <c r="A58" t="s">
        <v>68</v>
      </c>
      <c r="B58" t="s">
        <v>69</v>
      </c>
      <c r="E58" t="s">
        <v>70</v>
      </c>
    </row>
    <row r="60" spans="1:14" s="2" customFormat="1">
      <c r="A60" s="2" t="s">
        <v>71</v>
      </c>
      <c r="G60" s="3"/>
      <c r="H60" s="3"/>
      <c r="I60" s="3"/>
      <c r="J60" s="3"/>
      <c r="K60" s="3"/>
      <c r="L60" s="3"/>
      <c r="M60" s="22">
        <f>SUM(M4:M59)</f>
        <v>48800.73</v>
      </c>
      <c r="N60" s="22">
        <f>SUM(N4:N59)</f>
        <v>585608.76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32E-41AA-4B7B-A4AC-24D96B13B5F3}">
  <sheetPr>
    <tabColor theme="9" tint="0.39997558519241921"/>
  </sheetPr>
  <dimension ref="A2:X39"/>
  <sheetViews>
    <sheetView tabSelected="1" workbookViewId="0">
      <selection activeCell="X11" sqref="X11"/>
    </sheetView>
  </sheetViews>
  <sheetFormatPr defaultRowHeight="15"/>
  <cols>
    <col min="15" max="16" width="10.28515625" bestFit="1" customWidth="1"/>
    <col min="17" max="18" width="11.28515625" bestFit="1" customWidth="1"/>
    <col min="20" max="20" width="13.85546875" customWidth="1"/>
    <col min="21" max="21" width="15.7109375" bestFit="1" customWidth="1"/>
    <col min="22" max="23" width="15.7109375" customWidth="1"/>
    <col min="24" max="24" width="15.7109375" bestFit="1" customWidth="1"/>
  </cols>
  <sheetData>
    <row r="2" spans="1:24" ht="15.75">
      <c r="I2" s="111" t="s">
        <v>124</v>
      </c>
    </row>
    <row r="3" spans="1:24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>
      <c r="A5" s="57" t="s">
        <v>76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72.75">
      <c r="A6" s="60" t="s">
        <v>77</v>
      </c>
      <c r="B6" s="61" t="s">
        <v>78</v>
      </c>
      <c r="C6" s="61" t="s">
        <v>79</v>
      </c>
      <c r="D6" s="61" t="s">
        <v>80</v>
      </c>
      <c r="E6" s="61" t="s">
        <v>81</v>
      </c>
      <c r="F6" s="61" t="s">
        <v>82</v>
      </c>
      <c r="G6" s="61" t="s">
        <v>83</v>
      </c>
      <c r="H6" s="61" t="s">
        <v>84</v>
      </c>
      <c r="I6" s="61" t="s">
        <v>85</v>
      </c>
      <c r="J6" s="61" t="s">
        <v>86</v>
      </c>
      <c r="K6" s="61" t="s">
        <v>87</v>
      </c>
      <c r="L6" s="61" t="s">
        <v>88</v>
      </c>
      <c r="M6" s="61" t="s">
        <v>89</v>
      </c>
      <c r="N6" s="56"/>
      <c r="P6" s="62" t="s">
        <v>90</v>
      </c>
      <c r="Q6" s="62" t="s">
        <v>91</v>
      </c>
      <c r="R6" s="62" t="s">
        <v>92</v>
      </c>
      <c r="S6" s="56"/>
      <c r="T6" s="98" t="s">
        <v>125</v>
      </c>
      <c r="U6" s="98" t="s">
        <v>126</v>
      </c>
      <c r="V6" s="98" t="s">
        <v>94</v>
      </c>
      <c r="W6" s="98" t="s">
        <v>95</v>
      </c>
      <c r="X6" s="112" t="s">
        <v>96</v>
      </c>
    </row>
    <row r="7" spans="1:24">
      <c r="A7" s="63" t="s">
        <v>20</v>
      </c>
      <c r="B7" s="65">
        <v>23</v>
      </c>
      <c r="C7" s="66" t="s">
        <v>97</v>
      </c>
      <c r="D7" s="66" t="s">
        <v>98</v>
      </c>
      <c r="E7" s="67" t="s">
        <v>99</v>
      </c>
      <c r="F7" s="68">
        <v>32</v>
      </c>
      <c r="G7" s="68">
        <v>8</v>
      </c>
      <c r="H7" s="66" t="s">
        <v>100</v>
      </c>
      <c r="I7" s="66" t="s">
        <v>101</v>
      </c>
      <c r="J7" s="66">
        <v>3000</v>
      </c>
      <c r="K7" s="66">
        <v>125</v>
      </c>
      <c r="L7" s="66">
        <v>50</v>
      </c>
      <c r="M7" s="66" t="s">
        <v>102</v>
      </c>
      <c r="N7" s="56"/>
      <c r="P7" s="69">
        <f>72*B7</f>
        <v>1656</v>
      </c>
      <c r="Q7" s="70">
        <v>3</v>
      </c>
      <c r="R7" s="69">
        <f>SUM(P7:Q7)*12</f>
        <v>19908</v>
      </c>
      <c r="S7" s="56"/>
      <c r="T7" s="69">
        <f>$E$35</f>
        <v>73</v>
      </c>
      <c r="U7" s="69">
        <f>B7*G7*(24*265)*$E$34*(1-$E$39)</f>
        <v>18723.84</v>
      </c>
      <c r="V7" s="106">
        <f>$E$36*(24*265)*(1-$E$39)</f>
        <v>508.8</v>
      </c>
      <c r="W7" s="108"/>
      <c r="X7" s="56"/>
    </row>
    <row r="8" spans="1:24">
      <c r="A8" s="64"/>
      <c r="B8" s="65">
        <v>6</v>
      </c>
      <c r="C8" s="66" t="s">
        <v>97</v>
      </c>
      <c r="D8" s="66" t="s">
        <v>98</v>
      </c>
      <c r="E8" s="67" t="s">
        <v>103</v>
      </c>
      <c r="F8" s="68">
        <v>8</v>
      </c>
      <c r="G8" s="68">
        <v>4</v>
      </c>
      <c r="H8" s="66" t="s">
        <v>100</v>
      </c>
      <c r="I8" s="66" t="s">
        <v>101</v>
      </c>
      <c r="J8" s="66">
        <v>3000</v>
      </c>
      <c r="K8" s="66">
        <v>125</v>
      </c>
      <c r="L8" s="66">
        <v>20</v>
      </c>
      <c r="M8" s="66" t="s">
        <v>104</v>
      </c>
      <c r="N8" s="56"/>
      <c r="P8" s="69">
        <f>28*B8</f>
        <v>168</v>
      </c>
      <c r="Q8" s="70">
        <v>1.2</v>
      </c>
      <c r="R8" s="69">
        <f t="shared" ref="R8:R16" si="0">SUM(P8:Q8)*12</f>
        <v>2030.3999999999999</v>
      </c>
      <c r="S8" s="56"/>
      <c r="T8" s="69">
        <f t="shared" ref="T8:T16" si="1">$E$35</f>
        <v>73</v>
      </c>
      <c r="U8" s="69">
        <f>B8*G8*(24*265)*$E$34*(1-$E$39)</f>
        <v>2442.2400000000002</v>
      </c>
      <c r="V8" s="105"/>
      <c r="W8" s="109"/>
      <c r="X8" s="56"/>
    </row>
    <row r="9" spans="1:24">
      <c r="A9" s="63" t="s">
        <v>105</v>
      </c>
      <c r="B9" s="71">
        <v>4</v>
      </c>
      <c r="C9" s="66" t="s">
        <v>97</v>
      </c>
      <c r="D9" s="66" t="s">
        <v>98</v>
      </c>
      <c r="E9" s="67" t="s">
        <v>106</v>
      </c>
      <c r="F9" s="72">
        <v>16</v>
      </c>
      <c r="G9" s="72">
        <v>4</v>
      </c>
      <c r="H9" s="66" t="s">
        <v>100</v>
      </c>
      <c r="I9" s="66" t="s">
        <v>101</v>
      </c>
      <c r="J9" s="66">
        <v>3000</v>
      </c>
      <c r="K9" s="66">
        <v>125</v>
      </c>
      <c r="L9" s="66">
        <v>50</v>
      </c>
      <c r="M9" s="66" t="s">
        <v>102</v>
      </c>
      <c r="N9" s="56"/>
      <c r="P9" s="69">
        <f>36*B9</f>
        <v>144</v>
      </c>
      <c r="Q9" s="70">
        <v>3</v>
      </c>
      <c r="R9" s="69">
        <f t="shared" si="0"/>
        <v>1764</v>
      </c>
      <c r="S9" s="56"/>
      <c r="T9" s="69">
        <f t="shared" si="1"/>
        <v>73</v>
      </c>
      <c r="U9" s="69">
        <f>B9*G9*(24*265)*$E$34*(1-$E$39)</f>
        <v>1628.16</v>
      </c>
      <c r="V9" s="106">
        <f t="shared" ref="V9:V16" si="2">$E$36*(24*265)*(1-$E$39)</f>
        <v>508.8</v>
      </c>
      <c r="W9" s="108"/>
      <c r="X9" s="56"/>
    </row>
    <row r="10" spans="1:24">
      <c r="A10" s="64"/>
      <c r="B10" s="71">
        <v>3</v>
      </c>
      <c r="C10" s="66" t="s">
        <v>97</v>
      </c>
      <c r="D10" s="66" t="s">
        <v>98</v>
      </c>
      <c r="E10" s="67" t="s">
        <v>103</v>
      </c>
      <c r="F10" s="72">
        <v>8</v>
      </c>
      <c r="G10" s="72">
        <v>4</v>
      </c>
      <c r="H10" s="66" t="s">
        <v>100</v>
      </c>
      <c r="I10" s="66" t="s">
        <v>101</v>
      </c>
      <c r="J10" s="66">
        <v>3000</v>
      </c>
      <c r="K10" s="66">
        <v>125</v>
      </c>
      <c r="L10" s="66">
        <v>20</v>
      </c>
      <c r="M10" s="66" t="s">
        <v>104</v>
      </c>
      <c r="N10" s="56"/>
      <c r="P10" s="69">
        <f>28*B10</f>
        <v>84</v>
      </c>
      <c r="Q10" s="69">
        <v>1.2</v>
      </c>
      <c r="R10" s="69">
        <f t="shared" si="0"/>
        <v>1022.4000000000001</v>
      </c>
      <c r="S10" s="56"/>
      <c r="T10" s="69">
        <f t="shared" si="1"/>
        <v>73</v>
      </c>
      <c r="U10" s="69">
        <f>B10*G10*(24*265)*$E$34*(1-$E$39)</f>
        <v>1221.1200000000001</v>
      </c>
      <c r="V10" s="105"/>
      <c r="W10" s="109"/>
      <c r="X10" s="56"/>
    </row>
    <row r="11" spans="1:24">
      <c r="A11" s="63" t="s">
        <v>107</v>
      </c>
      <c r="B11" s="73">
        <v>4</v>
      </c>
      <c r="C11" s="66" t="s">
        <v>97</v>
      </c>
      <c r="D11" s="66" t="s">
        <v>98</v>
      </c>
      <c r="E11" s="67" t="s">
        <v>106</v>
      </c>
      <c r="F11" s="74">
        <v>16</v>
      </c>
      <c r="G11" s="74">
        <v>4</v>
      </c>
      <c r="H11" s="66" t="s">
        <v>100</v>
      </c>
      <c r="I11" s="66" t="s">
        <v>101</v>
      </c>
      <c r="J11" s="66">
        <v>3000</v>
      </c>
      <c r="K11" s="66">
        <v>125</v>
      </c>
      <c r="L11" s="66">
        <v>50</v>
      </c>
      <c r="M11" s="66" t="s">
        <v>102</v>
      </c>
      <c r="N11" s="56"/>
      <c r="P11" s="69">
        <f>36*B11</f>
        <v>144</v>
      </c>
      <c r="Q11" s="69">
        <v>3</v>
      </c>
      <c r="R11" s="69">
        <f t="shared" si="0"/>
        <v>1764</v>
      </c>
      <c r="S11" s="56"/>
      <c r="T11" s="69">
        <f t="shared" si="1"/>
        <v>73</v>
      </c>
      <c r="U11" s="69">
        <f>B11*G11*(24*265)*$E$34*(1-$E$39)</f>
        <v>1628.16</v>
      </c>
      <c r="V11" s="106">
        <f t="shared" ref="V11:V16" si="3">$E$36*(24*265)*(1-$E$39)</f>
        <v>508.8</v>
      </c>
      <c r="W11" s="108"/>
      <c r="X11" s="56"/>
    </row>
    <row r="12" spans="1:24">
      <c r="A12" s="64"/>
      <c r="B12" s="73">
        <v>3</v>
      </c>
      <c r="C12" s="66" t="s">
        <v>97</v>
      </c>
      <c r="D12" s="66" t="s">
        <v>98</v>
      </c>
      <c r="E12" s="67" t="s">
        <v>103</v>
      </c>
      <c r="F12" s="74">
        <v>8</v>
      </c>
      <c r="G12" s="74">
        <v>4</v>
      </c>
      <c r="H12" s="66" t="s">
        <v>100</v>
      </c>
      <c r="I12" s="66" t="s">
        <v>101</v>
      </c>
      <c r="J12" s="66">
        <v>3000</v>
      </c>
      <c r="K12" s="66">
        <v>125</v>
      </c>
      <c r="L12" s="66">
        <v>20</v>
      </c>
      <c r="M12" s="66" t="s">
        <v>104</v>
      </c>
      <c r="N12" s="56"/>
      <c r="P12" s="69">
        <f>28*B12</f>
        <v>84</v>
      </c>
      <c r="Q12" s="69">
        <v>1.2</v>
      </c>
      <c r="R12" s="69">
        <f t="shared" si="0"/>
        <v>1022.4000000000001</v>
      </c>
      <c r="S12" s="56"/>
      <c r="T12" s="69">
        <f t="shared" si="1"/>
        <v>73</v>
      </c>
      <c r="U12" s="69">
        <f>B12*G12*(24*265)*$E$34*(1-$E$39)</f>
        <v>1221.1200000000001</v>
      </c>
      <c r="V12" s="105"/>
      <c r="W12" s="109"/>
      <c r="X12" s="56"/>
    </row>
    <row r="13" spans="1:24">
      <c r="A13" s="63" t="s">
        <v>108</v>
      </c>
      <c r="B13" s="75">
        <v>3</v>
      </c>
      <c r="C13" s="66" t="s">
        <v>97</v>
      </c>
      <c r="D13" s="66" t="s">
        <v>98</v>
      </c>
      <c r="E13" s="67" t="s">
        <v>106</v>
      </c>
      <c r="F13" s="76">
        <v>16</v>
      </c>
      <c r="G13" s="76">
        <v>4</v>
      </c>
      <c r="H13" s="66" t="s">
        <v>100</v>
      </c>
      <c r="I13" s="66" t="s">
        <v>101</v>
      </c>
      <c r="J13" s="66">
        <v>3000</v>
      </c>
      <c r="K13" s="66">
        <v>125</v>
      </c>
      <c r="L13" s="66">
        <v>50</v>
      </c>
      <c r="M13" s="66" t="s">
        <v>102</v>
      </c>
      <c r="N13" s="56"/>
      <c r="P13" s="69">
        <f>36*B13</f>
        <v>108</v>
      </c>
      <c r="Q13" s="69">
        <v>3</v>
      </c>
      <c r="R13" s="69">
        <f t="shared" si="0"/>
        <v>1332</v>
      </c>
      <c r="S13" s="56"/>
      <c r="T13" s="69">
        <f t="shared" si="1"/>
        <v>73</v>
      </c>
      <c r="U13" s="69">
        <f>B13*G13*(24*265)*$E$34*(1-$E$39)</f>
        <v>1221.1200000000001</v>
      </c>
      <c r="V13" s="106">
        <f t="shared" ref="V13:V16" si="4">$E$36*(24*265)*(1-$E$39)</f>
        <v>508.8</v>
      </c>
      <c r="W13" s="108"/>
      <c r="X13" s="56"/>
    </row>
    <row r="14" spans="1:24">
      <c r="A14" s="64"/>
      <c r="B14" s="75">
        <v>3</v>
      </c>
      <c r="C14" s="66" t="s">
        <v>97</v>
      </c>
      <c r="D14" s="66" t="s">
        <v>98</v>
      </c>
      <c r="E14" s="67" t="s">
        <v>103</v>
      </c>
      <c r="F14" s="76">
        <v>8</v>
      </c>
      <c r="G14" s="76">
        <v>4</v>
      </c>
      <c r="H14" s="66" t="s">
        <v>100</v>
      </c>
      <c r="I14" s="66" t="s">
        <v>101</v>
      </c>
      <c r="J14" s="66">
        <v>3000</v>
      </c>
      <c r="K14" s="66">
        <v>125</v>
      </c>
      <c r="L14" s="66">
        <v>20</v>
      </c>
      <c r="M14" s="66" t="s">
        <v>104</v>
      </c>
      <c r="N14" s="56"/>
      <c r="P14" s="69">
        <f>28*B14</f>
        <v>84</v>
      </c>
      <c r="Q14" s="69">
        <v>1.2</v>
      </c>
      <c r="R14" s="69">
        <f t="shared" si="0"/>
        <v>1022.4000000000001</v>
      </c>
      <c r="S14" s="56"/>
      <c r="T14" s="69">
        <f t="shared" si="1"/>
        <v>73</v>
      </c>
      <c r="U14" s="69">
        <f>B14*G14*(24*265)*$E$34*(1-$E$39)</f>
        <v>1221.1200000000001</v>
      </c>
      <c r="V14" s="105"/>
      <c r="W14" s="109"/>
      <c r="X14" s="56"/>
    </row>
    <row r="15" spans="1:24">
      <c r="A15" s="63" t="s">
        <v>109</v>
      </c>
      <c r="B15" s="77">
        <v>4</v>
      </c>
      <c r="C15" s="78" t="s">
        <v>97</v>
      </c>
      <c r="D15" s="66" t="s">
        <v>98</v>
      </c>
      <c r="E15" s="67" t="s">
        <v>106</v>
      </c>
      <c r="F15" s="79">
        <v>16</v>
      </c>
      <c r="G15" s="79">
        <v>4</v>
      </c>
      <c r="H15" s="66" t="s">
        <v>100</v>
      </c>
      <c r="I15" s="66" t="s">
        <v>101</v>
      </c>
      <c r="J15" s="66">
        <v>3000</v>
      </c>
      <c r="K15" s="66">
        <v>125</v>
      </c>
      <c r="L15" s="66">
        <v>50</v>
      </c>
      <c r="M15" s="66" t="s">
        <v>102</v>
      </c>
      <c r="N15" s="56"/>
      <c r="P15" s="69">
        <f>36*B15</f>
        <v>144</v>
      </c>
      <c r="Q15" s="69">
        <v>3</v>
      </c>
      <c r="R15" s="69">
        <f t="shared" si="0"/>
        <v>1764</v>
      </c>
      <c r="S15" s="56"/>
      <c r="T15" s="69">
        <f t="shared" si="1"/>
        <v>73</v>
      </c>
      <c r="U15" s="69">
        <f>B15*G15*(24*265)*$E$34*(1-$E$39)</f>
        <v>1628.16</v>
      </c>
      <c r="V15" s="106">
        <f t="shared" ref="V15:V16" si="5">$E$36*(24*265)*(1-$E$39)</f>
        <v>508.8</v>
      </c>
      <c r="W15" s="108"/>
      <c r="X15" s="56"/>
    </row>
    <row r="16" spans="1:24">
      <c r="A16" s="64"/>
      <c r="B16" s="77">
        <v>3</v>
      </c>
      <c r="C16" s="78" t="s">
        <v>97</v>
      </c>
      <c r="D16" s="66" t="s">
        <v>98</v>
      </c>
      <c r="E16" s="67" t="s">
        <v>103</v>
      </c>
      <c r="F16" s="79">
        <v>8</v>
      </c>
      <c r="G16" s="79">
        <v>4</v>
      </c>
      <c r="H16" s="66" t="s">
        <v>100</v>
      </c>
      <c r="I16" s="66" t="s">
        <v>101</v>
      </c>
      <c r="J16" s="66">
        <v>3000</v>
      </c>
      <c r="K16" s="66">
        <v>125</v>
      </c>
      <c r="L16" s="66">
        <v>20</v>
      </c>
      <c r="M16" s="66" t="s">
        <v>104</v>
      </c>
      <c r="N16" s="56"/>
      <c r="P16" s="69">
        <f>28*B16</f>
        <v>84</v>
      </c>
      <c r="Q16" s="69">
        <v>1.2</v>
      </c>
      <c r="R16" s="69">
        <f t="shared" si="0"/>
        <v>1022.4000000000001</v>
      </c>
      <c r="S16" s="56"/>
      <c r="T16" s="69">
        <f t="shared" si="1"/>
        <v>73</v>
      </c>
      <c r="U16" s="69">
        <f>B16*G16*(24*265)*$E$34*(1-$E$39)</f>
        <v>1221.1200000000001</v>
      </c>
      <c r="V16" s="105"/>
      <c r="W16" s="109"/>
      <c r="X16" s="56"/>
    </row>
    <row r="17" spans="1:24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P17" s="56"/>
      <c r="Q17" s="56"/>
      <c r="R17" s="56"/>
      <c r="S17" s="56"/>
      <c r="T17" s="56"/>
      <c r="U17" s="56"/>
      <c r="V17" s="56"/>
      <c r="W17" s="56"/>
      <c r="X17" s="56"/>
    </row>
    <row r="18" spans="1:24" ht="2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P18" s="56"/>
      <c r="Q18" s="56"/>
      <c r="R18" s="69">
        <f>SUM(R7:R16)</f>
        <v>32652.000000000007</v>
      </c>
      <c r="S18" s="56"/>
      <c r="T18" s="69">
        <f>SUM(T7:T16)</f>
        <v>730</v>
      </c>
      <c r="U18" s="69">
        <f>SUM(U7:U16)</f>
        <v>32156.159999999996</v>
      </c>
      <c r="V18" s="107">
        <f>SUM(V7:V16)</f>
        <v>2544</v>
      </c>
      <c r="W18" s="107">
        <f>2000*12</f>
        <v>24000</v>
      </c>
      <c r="X18" s="89">
        <f>R18+T18+U18+V18+W18</f>
        <v>92082.16</v>
      </c>
    </row>
    <row r="19" spans="1:24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</row>
    <row r="20" spans="1:24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spans="1:24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spans="1:24">
      <c r="A22" s="56"/>
      <c r="B22" s="80" t="s">
        <v>110</v>
      </c>
      <c r="C22" s="81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spans="1:24">
      <c r="A23" s="56"/>
      <c r="B23" s="82" t="s">
        <v>83</v>
      </c>
      <c r="C23" s="83" t="s">
        <v>82</v>
      </c>
      <c r="D23" s="83" t="s">
        <v>111</v>
      </c>
      <c r="E23" s="83" t="s">
        <v>112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</row>
    <row r="24" spans="1:24">
      <c r="A24" s="56"/>
      <c r="B24" s="78">
        <v>4</v>
      </c>
      <c r="C24" s="66">
        <v>8</v>
      </c>
      <c r="D24" s="66" t="s">
        <v>113</v>
      </c>
      <c r="E24" s="84">
        <v>28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</row>
    <row r="25" spans="1:24">
      <c r="A25" s="56"/>
      <c r="B25" s="78">
        <v>4</v>
      </c>
      <c r="C25" s="66">
        <v>16</v>
      </c>
      <c r="D25" s="66" t="s">
        <v>114</v>
      </c>
      <c r="E25" s="84">
        <v>36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spans="1:24">
      <c r="A26" s="56"/>
      <c r="B26" s="78">
        <v>8</v>
      </c>
      <c r="C26" s="66">
        <v>32</v>
      </c>
      <c r="D26" s="66" t="s">
        <v>115</v>
      </c>
      <c r="E26" s="84">
        <v>72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</row>
    <row r="27" spans="1:24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spans="1:24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1:24">
      <c r="A29" s="56"/>
      <c r="B29" s="56"/>
      <c r="C29" s="56"/>
      <c r="D29" s="82" t="s">
        <v>116</v>
      </c>
      <c r="E29" s="83" t="s">
        <v>117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1:24">
      <c r="A30" s="56"/>
      <c r="B30" s="56"/>
      <c r="C30" s="56"/>
      <c r="D30" s="78">
        <v>50</v>
      </c>
      <c r="E30" s="84">
        <v>3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1:24">
      <c r="A31" s="56"/>
      <c r="B31" s="56"/>
      <c r="C31" s="56"/>
      <c r="D31" s="78">
        <v>20</v>
      </c>
      <c r="E31" s="84">
        <v>1.2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1:24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1:24">
      <c r="A33" s="56"/>
      <c r="B33" s="80" t="s">
        <v>127</v>
      </c>
      <c r="C33" s="81"/>
      <c r="D33" s="81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spans="1:24">
      <c r="A34" s="56"/>
      <c r="B34" s="85" t="s">
        <v>128</v>
      </c>
      <c r="C34" s="86"/>
      <c r="D34" s="87"/>
      <c r="E34" s="88">
        <v>0.02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1:24">
      <c r="A35" s="56"/>
      <c r="B35" s="85" t="s">
        <v>129</v>
      </c>
      <c r="C35" s="86"/>
      <c r="D35" s="87"/>
      <c r="E35" s="84">
        <v>73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spans="1:24" ht="18" customHeight="1">
      <c r="A36" s="56"/>
      <c r="B36" s="101" t="s">
        <v>120</v>
      </c>
      <c r="C36" s="101"/>
      <c r="D36" s="101"/>
      <c r="E36" s="110">
        <v>0.1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1:24">
      <c r="B37" s="101"/>
      <c r="C37" s="101"/>
      <c r="D37" s="101"/>
      <c r="E37" s="110"/>
    </row>
    <row r="39" spans="1:24">
      <c r="B39" t="s">
        <v>121</v>
      </c>
      <c r="E39" s="91">
        <v>0.2</v>
      </c>
    </row>
  </sheetData>
  <mergeCells count="15">
    <mergeCell ref="V7:V8"/>
    <mergeCell ref="V9:V10"/>
    <mergeCell ref="V11:V12"/>
    <mergeCell ref="V13:V14"/>
    <mergeCell ref="V15:V16"/>
    <mergeCell ref="B34:D34"/>
    <mergeCell ref="B35:D35"/>
    <mergeCell ref="B36:D37"/>
    <mergeCell ref="E36:E37"/>
    <mergeCell ref="A5:M5"/>
    <mergeCell ref="A7:A8"/>
    <mergeCell ref="A9:A10"/>
    <mergeCell ref="A11:A12"/>
    <mergeCell ref="A13:A14"/>
    <mergeCell ref="A15:A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70CC-1F8B-4019-96EC-123E89CA4955}">
  <dimension ref="A3:Y24"/>
  <sheetViews>
    <sheetView zoomScale="91" zoomScaleNormal="91" workbookViewId="0">
      <selection activeCell="V27" sqref="V27"/>
    </sheetView>
  </sheetViews>
  <sheetFormatPr defaultRowHeight="15"/>
  <cols>
    <col min="1" max="1" width="18.5703125" bestFit="1" customWidth="1"/>
    <col min="2" max="2" width="10.85546875" customWidth="1"/>
    <col min="3" max="3" width="9.140625" bestFit="1" customWidth="1"/>
    <col min="4" max="4" width="13" customWidth="1"/>
    <col min="5" max="5" width="12.42578125" customWidth="1"/>
    <col min="6" max="6" width="5.5703125" bestFit="1" customWidth="1"/>
    <col min="7" max="7" width="5.28515625" bestFit="1" customWidth="1"/>
    <col min="8" max="8" width="11.140625" bestFit="1" customWidth="1"/>
    <col min="9" max="9" width="11.140625" customWidth="1"/>
    <col min="10" max="10" width="10" customWidth="1"/>
    <col min="11" max="11" width="12.42578125" customWidth="1"/>
    <col min="12" max="12" width="8.42578125" customWidth="1"/>
    <col min="13" max="13" width="11.85546875" customWidth="1"/>
    <col min="14" max="14" width="11.5703125" style="5" customWidth="1"/>
    <col min="15" max="15" width="10.85546875" style="5" customWidth="1"/>
    <col min="16" max="16" width="12.140625" style="5" customWidth="1"/>
    <col min="17" max="17" width="10.5703125" customWidth="1"/>
    <col min="18" max="18" width="9" style="5" customWidth="1"/>
    <col min="19" max="19" width="12.42578125" style="5" customWidth="1"/>
    <col min="20" max="20" width="11.42578125" style="5" customWidth="1"/>
    <col min="21" max="21" width="12.42578125" style="5" customWidth="1"/>
    <col min="22" max="22" width="2.42578125" customWidth="1"/>
    <col min="23" max="23" width="11.85546875" style="5" customWidth="1"/>
    <col min="24" max="24" width="2.28515625" customWidth="1"/>
    <col min="25" max="25" width="11.85546875" style="5" customWidth="1"/>
  </cols>
  <sheetData>
    <row r="3" spans="1:25">
      <c r="A3" s="54" t="s">
        <v>76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25" s="21" customFormat="1" ht="75">
      <c r="A4" s="26" t="s">
        <v>77</v>
      </c>
      <c r="B4" s="27" t="s">
        <v>78</v>
      </c>
      <c r="C4" s="27" t="s">
        <v>79</v>
      </c>
      <c r="D4" s="27" t="s">
        <v>80</v>
      </c>
      <c r="E4" s="27" t="s">
        <v>81</v>
      </c>
      <c r="F4" s="27" t="s">
        <v>82</v>
      </c>
      <c r="G4" s="27" t="s">
        <v>83</v>
      </c>
      <c r="H4" s="27" t="s">
        <v>84</v>
      </c>
      <c r="I4" s="27" t="s">
        <v>85</v>
      </c>
      <c r="J4" s="27" t="s">
        <v>86</v>
      </c>
      <c r="K4" s="27" t="s">
        <v>87</v>
      </c>
      <c r="L4" s="27" t="s">
        <v>88</v>
      </c>
      <c r="M4" s="27" t="s">
        <v>89</v>
      </c>
      <c r="N4" s="27" t="s">
        <v>130</v>
      </c>
      <c r="O4" s="28" t="s">
        <v>131</v>
      </c>
      <c r="P4" s="28" t="s">
        <v>132</v>
      </c>
      <c r="Q4" s="27" t="s">
        <v>133</v>
      </c>
      <c r="R4" s="28" t="s">
        <v>134</v>
      </c>
      <c r="S4" s="28" t="s">
        <v>135</v>
      </c>
      <c r="T4" s="28" t="s">
        <v>136</v>
      </c>
      <c r="U4" s="28" t="s">
        <v>137</v>
      </c>
      <c r="W4" s="28" t="s">
        <v>138</v>
      </c>
      <c r="Y4" s="28" t="s">
        <v>139</v>
      </c>
    </row>
    <row r="5" spans="1:25">
      <c r="A5" s="55" t="s">
        <v>20</v>
      </c>
      <c r="B5" s="29">
        <v>23</v>
      </c>
      <c r="C5" s="30" t="s">
        <v>97</v>
      </c>
      <c r="D5" s="30" t="s">
        <v>98</v>
      </c>
      <c r="E5" s="30" t="s">
        <v>99</v>
      </c>
      <c r="F5" s="31">
        <v>32</v>
      </c>
      <c r="G5" s="31">
        <v>8</v>
      </c>
      <c r="H5" s="30" t="s">
        <v>100</v>
      </c>
      <c r="I5" s="30" t="s">
        <v>101</v>
      </c>
      <c r="J5" s="30">
        <v>3000</v>
      </c>
      <c r="K5" s="30">
        <v>125</v>
      </c>
      <c r="L5" s="30">
        <v>50</v>
      </c>
      <c r="M5" s="30" t="s">
        <v>102</v>
      </c>
      <c r="N5" s="32">
        <f>B5*G5</f>
        <v>184</v>
      </c>
      <c r="O5" s="33">
        <v>14.4</v>
      </c>
      <c r="P5" s="32">
        <f>N5*O5</f>
        <v>2649.6</v>
      </c>
      <c r="Q5" s="33" t="s">
        <v>115</v>
      </c>
      <c r="R5" s="51">
        <v>72</v>
      </c>
      <c r="S5" s="32">
        <f>R5*B5</f>
        <v>1656</v>
      </c>
      <c r="T5" s="51">
        <v>3</v>
      </c>
      <c r="U5" s="32">
        <f>T5*B5</f>
        <v>69</v>
      </c>
      <c r="W5" s="32">
        <f>P5+S5+U5</f>
        <v>4374.6000000000004</v>
      </c>
      <c r="Y5" s="32">
        <f>W5*12</f>
        <v>52495.200000000004</v>
      </c>
    </row>
    <row r="6" spans="1:25">
      <c r="A6" s="53"/>
      <c r="B6" s="34">
        <v>6</v>
      </c>
      <c r="C6" s="35" t="s">
        <v>97</v>
      </c>
      <c r="D6" s="35" t="s">
        <v>98</v>
      </c>
      <c r="E6" s="35" t="s">
        <v>103</v>
      </c>
      <c r="F6" s="36">
        <v>8</v>
      </c>
      <c r="G6" s="36">
        <v>4</v>
      </c>
      <c r="H6" s="35" t="s">
        <v>100</v>
      </c>
      <c r="I6" s="35" t="s">
        <v>101</v>
      </c>
      <c r="J6" s="35">
        <v>3000</v>
      </c>
      <c r="K6" s="35">
        <v>125</v>
      </c>
      <c r="L6" s="35">
        <v>20</v>
      </c>
      <c r="M6" s="35" t="s">
        <v>104</v>
      </c>
      <c r="N6" s="32">
        <f t="shared" ref="N6:N14" si="0">B6*G6</f>
        <v>24</v>
      </c>
      <c r="O6" s="33">
        <v>14.4</v>
      </c>
      <c r="P6" s="32">
        <f t="shared" ref="P6:P14" si="1">N6*O6</f>
        <v>345.6</v>
      </c>
      <c r="Q6" s="33" t="s">
        <v>113</v>
      </c>
      <c r="R6" s="51">
        <v>28</v>
      </c>
      <c r="S6" s="32">
        <f t="shared" ref="S6:S14" si="2">R6*B6</f>
        <v>168</v>
      </c>
      <c r="T6" s="51">
        <v>1.2</v>
      </c>
      <c r="U6" s="32">
        <f t="shared" ref="U6:U14" si="3">T6*B6</f>
        <v>7.1999999999999993</v>
      </c>
      <c r="W6" s="32">
        <f t="shared" ref="W6:W14" si="4">P6+S6+U6</f>
        <v>520.80000000000007</v>
      </c>
      <c r="Y6" s="32">
        <f t="shared" ref="Y6:Y14" si="5">W6*12</f>
        <v>6249.6</v>
      </c>
    </row>
    <row r="7" spans="1:25">
      <c r="A7" s="53" t="s">
        <v>105</v>
      </c>
      <c r="B7" s="37">
        <v>4</v>
      </c>
      <c r="C7" s="35" t="s">
        <v>97</v>
      </c>
      <c r="D7" s="35" t="s">
        <v>98</v>
      </c>
      <c r="E7" s="35" t="s">
        <v>106</v>
      </c>
      <c r="F7" s="38">
        <v>16</v>
      </c>
      <c r="G7" s="38">
        <v>4</v>
      </c>
      <c r="H7" s="35" t="s">
        <v>100</v>
      </c>
      <c r="I7" s="35" t="s">
        <v>101</v>
      </c>
      <c r="J7" s="35">
        <v>3000</v>
      </c>
      <c r="K7" s="35">
        <v>125</v>
      </c>
      <c r="L7" s="35">
        <v>50</v>
      </c>
      <c r="M7" s="35" t="s">
        <v>102</v>
      </c>
      <c r="N7" s="32">
        <f t="shared" si="0"/>
        <v>16</v>
      </c>
      <c r="O7" s="33">
        <v>14.4</v>
      </c>
      <c r="P7" s="32">
        <f t="shared" si="1"/>
        <v>230.4</v>
      </c>
      <c r="Q7" s="33" t="s">
        <v>114</v>
      </c>
      <c r="R7" s="51">
        <v>36</v>
      </c>
      <c r="S7" s="32">
        <f t="shared" si="2"/>
        <v>144</v>
      </c>
      <c r="T7" s="51">
        <v>3</v>
      </c>
      <c r="U7" s="32">
        <f t="shared" si="3"/>
        <v>12</v>
      </c>
      <c r="W7" s="32">
        <f t="shared" si="4"/>
        <v>386.4</v>
      </c>
      <c r="Y7" s="32">
        <f t="shared" si="5"/>
        <v>4636.7999999999993</v>
      </c>
    </row>
    <row r="8" spans="1:25">
      <c r="A8" s="53" t="s">
        <v>105</v>
      </c>
      <c r="B8" s="37">
        <v>3</v>
      </c>
      <c r="C8" s="35" t="s">
        <v>97</v>
      </c>
      <c r="D8" s="35" t="s">
        <v>98</v>
      </c>
      <c r="E8" s="35" t="s">
        <v>103</v>
      </c>
      <c r="F8" s="38">
        <v>8</v>
      </c>
      <c r="G8" s="38">
        <v>4</v>
      </c>
      <c r="H8" s="35" t="s">
        <v>100</v>
      </c>
      <c r="I8" s="35" t="s">
        <v>101</v>
      </c>
      <c r="J8" s="35">
        <v>3000</v>
      </c>
      <c r="K8" s="35">
        <v>125</v>
      </c>
      <c r="L8" s="35">
        <v>20</v>
      </c>
      <c r="M8" s="35" t="s">
        <v>104</v>
      </c>
      <c r="N8" s="32">
        <f t="shared" si="0"/>
        <v>12</v>
      </c>
      <c r="O8" s="33">
        <v>14.4</v>
      </c>
      <c r="P8" s="32">
        <f t="shared" si="1"/>
        <v>172.8</v>
      </c>
      <c r="Q8" s="33" t="s">
        <v>113</v>
      </c>
      <c r="R8" s="51">
        <v>28</v>
      </c>
      <c r="S8" s="32">
        <f t="shared" si="2"/>
        <v>84</v>
      </c>
      <c r="T8" s="51">
        <v>1.2</v>
      </c>
      <c r="U8" s="32">
        <f t="shared" si="3"/>
        <v>3.5999999999999996</v>
      </c>
      <c r="W8" s="32">
        <f t="shared" si="4"/>
        <v>260.40000000000003</v>
      </c>
      <c r="Y8" s="32">
        <f t="shared" si="5"/>
        <v>3124.8</v>
      </c>
    </row>
    <row r="9" spans="1:25">
      <c r="A9" s="53" t="s">
        <v>107</v>
      </c>
      <c r="B9" s="39">
        <v>4</v>
      </c>
      <c r="C9" s="35" t="s">
        <v>97</v>
      </c>
      <c r="D9" s="35" t="s">
        <v>98</v>
      </c>
      <c r="E9" s="35" t="s">
        <v>106</v>
      </c>
      <c r="F9" s="40">
        <v>16</v>
      </c>
      <c r="G9" s="40">
        <v>4</v>
      </c>
      <c r="H9" s="35" t="s">
        <v>100</v>
      </c>
      <c r="I9" s="35" t="s">
        <v>101</v>
      </c>
      <c r="J9" s="35">
        <v>3000</v>
      </c>
      <c r="K9" s="35">
        <v>125</v>
      </c>
      <c r="L9" s="35">
        <v>50</v>
      </c>
      <c r="M9" s="35" t="s">
        <v>102</v>
      </c>
      <c r="N9" s="32">
        <f t="shared" si="0"/>
        <v>16</v>
      </c>
      <c r="O9" s="33">
        <v>14.4</v>
      </c>
      <c r="P9" s="32">
        <f t="shared" si="1"/>
        <v>230.4</v>
      </c>
      <c r="Q9" s="33" t="s">
        <v>114</v>
      </c>
      <c r="R9" s="51">
        <v>36</v>
      </c>
      <c r="S9" s="32">
        <f t="shared" si="2"/>
        <v>144</v>
      </c>
      <c r="T9" s="51">
        <v>3</v>
      </c>
      <c r="U9" s="32">
        <f t="shared" si="3"/>
        <v>12</v>
      </c>
      <c r="W9" s="32">
        <f t="shared" si="4"/>
        <v>386.4</v>
      </c>
      <c r="Y9" s="32">
        <f t="shared" si="5"/>
        <v>4636.7999999999993</v>
      </c>
    </row>
    <row r="10" spans="1:25">
      <c r="A10" s="53" t="s">
        <v>107</v>
      </c>
      <c r="B10" s="39">
        <v>3</v>
      </c>
      <c r="C10" s="35" t="s">
        <v>97</v>
      </c>
      <c r="D10" s="35" t="s">
        <v>98</v>
      </c>
      <c r="E10" s="35" t="s">
        <v>103</v>
      </c>
      <c r="F10" s="40">
        <v>8</v>
      </c>
      <c r="G10" s="40">
        <v>4</v>
      </c>
      <c r="H10" s="35" t="s">
        <v>100</v>
      </c>
      <c r="I10" s="35" t="s">
        <v>101</v>
      </c>
      <c r="J10" s="35">
        <v>3000</v>
      </c>
      <c r="K10" s="35">
        <v>125</v>
      </c>
      <c r="L10" s="35">
        <v>20</v>
      </c>
      <c r="M10" s="35" t="s">
        <v>104</v>
      </c>
      <c r="N10" s="32">
        <f t="shared" si="0"/>
        <v>12</v>
      </c>
      <c r="O10" s="33">
        <v>14.4</v>
      </c>
      <c r="P10" s="32">
        <f t="shared" si="1"/>
        <v>172.8</v>
      </c>
      <c r="Q10" s="33" t="s">
        <v>113</v>
      </c>
      <c r="R10" s="51">
        <v>28</v>
      </c>
      <c r="S10" s="32">
        <f t="shared" si="2"/>
        <v>84</v>
      </c>
      <c r="T10" s="51">
        <v>1.2</v>
      </c>
      <c r="U10" s="32">
        <f t="shared" si="3"/>
        <v>3.5999999999999996</v>
      </c>
      <c r="W10" s="32">
        <f t="shared" si="4"/>
        <v>260.40000000000003</v>
      </c>
      <c r="Y10" s="32">
        <f t="shared" si="5"/>
        <v>3124.8</v>
      </c>
    </row>
    <row r="11" spans="1:25">
      <c r="A11" s="53" t="s">
        <v>108</v>
      </c>
      <c r="B11" s="41">
        <v>3</v>
      </c>
      <c r="C11" s="35" t="s">
        <v>97</v>
      </c>
      <c r="D11" s="35" t="s">
        <v>98</v>
      </c>
      <c r="E11" s="35" t="s">
        <v>106</v>
      </c>
      <c r="F11" s="42">
        <v>16</v>
      </c>
      <c r="G11" s="42">
        <v>4</v>
      </c>
      <c r="H11" s="35" t="s">
        <v>100</v>
      </c>
      <c r="I11" s="35" t="s">
        <v>101</v>
      </c>
      <c r="J11" s="35">
        <v>3000</v>
      </c>
      <c r="K11" s="35">
        <v>125</v>
      </c>
      <c r="L11" s="35">
        <v>50</v>
      </c>
      <c r="M11" s="35" t="s">
        <v>102</v>
      </c>
      <c r="N11" s="32">
        <f t="shared" si="0"/>
        <v>12</v>
      </c>
      <c r="O11" s="33">
        <v>14.4</v>
      </c>
      <c r="P11" s="32">
        <f t="shared" si="1"/>
        <v>172.8</v>
      </c>
      <c r="Q11" s="33" t="s">
        <v>114</v>
      </c>
      <c r="R11" s="51">
        <v>36</v>
      </c>
      <c r="S11" s="32">
        <f t="shared" si="2"/>
        <v>108</v>
      </c>
      <c r="T11" s="51">
        <v>3</v>
      </c>
      <c r="U11" s="32">
        <f t="shared" si="3"/>
        <v>9</v>
      </c>
      <c r="W11" s="32">
        <f t="shared" si="4"/>
        <v>289.8</v>
      </c>
      <c r="Y11" s="32">
        <f t="shared" si="5"/>
        <v>3477.6000000000004</v>
      </c>
    </row>
    <row r="12" spans="1:25">
      <c r="A12" s="53" t="s">
        <v>108</v>
      </c>
      <c r="B12" s="41">
        <v>3</v>
      </c>
      <c r="C12" s="35" t="s">
        <v>97</v>
      </c>
      <c r="D12" s="35" t="s">
        <v>98</v>
      </c>
      <c r="E12" s="35" t="s">
        <v>103</v>
      </c>
      <c r="F12" s="42">
        <v>8</v>
      </c>
      <c r="G12" s="42">
        <v>4</v>
      </c>
      <c r="H12" s="35" t="s">
        <v>100</v>
      </c>
      <c r="I12" s="35" t="s">
        <v>101</v>
      </c>
      <c r="J12" s="35">
        <v>3000</v>
      </c>
      <c r="K12" s="35">
        <v>125</v>
      </c>
      <c r="L12" s="35">
        <v>20</v>
      </c>
      <c r="M12" s="35" t="s">
        <v>104</v>
      </c>
      <c r="N12" s="32">
        <f t="shared" si="0"/>
        <v>12</v>
      </c>
      <c r="O12" s="33">
        <v>14.4</v>
      </c>
      <c r="P12" s="32">
        <f t="shared" si="1"/>
        <v>172.8</v>
      </c>
      <c r="Q12" s="33" t="s">
        <v>113</v>
      </c>
      <c r="R12" s="51">
        <v>28</v>
      </c>
      <c r="S12" s="32">
        <f t="shared" si="2"/>
        <v>84</v>
      </c>
      <c r="T12" s="51">
        <v>1.2</v>
      </c>
      <c r="U12" s="32">
        <f t="shared" si="3"/>
        <v>3.5999999999999996</v>
      </c>
      <c r="W12" s="32">
        <f t="shared" si="4"/>
        <v>260.40000000000003</v>
      </c>
      <c r="Y12" s="32">
        <f t="shared" si="5"/>
        <v>3124.8</v>
      </c>
    </row>
    <row r="13" spans="1:25">
      <c r="A13" s="53" t="s">
        <v>109</v>
      </c>
      <c r="B13" s="43">
        <v>4</v>
      </c>
      <c r="C13" s="35" t="s">
        <v>97</v>
      </c>
      <c r="D13" s="35" t="s">
        <v>98</v>
      </c>
      <c r="E13" s="35" t="s">
        <v>106</v>
      </c>
      <c r="F13" s="44">
        <v>16</v>
      </c>
      <c r="G13" s="44">
        <v>4</v>
      </c>
      <c r="H13" s="35" t="s">
        <v>100</v>
      </c>
      <c r="I13" s="35" t="s">
        <v>101</v>
      </c>
      <c r="J13" s="35">
        <v>3000</v>
      </c>
      <c r="K13" s="35">
        <v>125</v>
      </c>
      <c r="L13" s="35">
        <v>50</v>
      </c>
      <c r="M13" s="35" t="s">
        <v>102</v>
      </c>
      <c r="N13" s="32">
        <f t="shared" si="0"/>
        <v>16</v>
      </c>
      <c r="O13" s="33">
        <v>14.4</v>
      </c>
      <c r="P13" s="32">
        <f t="shared" si="1"/>
        <v>230.4</v>
      </c>
      <c r="Q13" s="33" t="s">
        <v>114</v>
      </c>
      <c r="R13" s="51">
        <v>36</v>
      </c>
      <c r="S13" s="32">
        <f t="shared" si="2"/>
        <v>144</v>
      </c>
      <c r="T13" s="51">
        <v>3</v>
      </c>
      <c r="U13" s="32">
        <f t="shared" si="3"/>
        <v>12</v>
      </c>
      <c r="W13" s="32">
        <f t="shared" si="4"/>
        <v>386.4</v>
      </c>
      <c r="Y13" s="32">
        <f t="shared" si="5"/>
        <v>4636.7999999999993</v>
      </c>
    </row>
    <row r="14" spans="1:25">
      <c r="A14" s="53" t="s">
        <v>109</v>
      </c>
      <c r="B14" s="43">
        <v>3</v>
      </c>
      <c r="C14" s="35" t="s">
        <v>97</v>
      </c>
      <c r="D14" s="35" t="s">
        <v>98</v>
      </c>
      <c r="E14" s="35" t="s">
        <v>103</v>
      </c>
      <c r="F14" s="44">
        <v>8</v>
      </c>
      <c r="G14" s="44">
        <v>4</v>
      </c>
      <c r="H14" s="35" t="s">
        <v>100</v>
      </c>
      <c r="I14" s="35" t="s">
        <v>101</v>
      </c>
      <c r="J14" s="35">
        <v>3000</v>
      </c>
      <c r="K14" s="35">
        <v>125</v>
      </c>
      <c r="L14" s="35">
        <v>20</v>
      </c>
      <c r="M14" s="35" t="s">
        <v>104</v>
      </c>
      <c r="N14" s="32">
        <f t="shared" si="0"/>
        <v>12</v>
      </c>
      <c r="O14" s="33">
        <v>14.4</v>
      </c>
      <c r="P14" s="32">
        <f t="shared" si="1"/>
        <v>172.8</v>
      </c>
      <c r="Q14" s="33" t="s">
        <v>113</v>
      </c>
      <c r="R14" s="51">
        <v>28</v>
      </c>
      <c r="S14" s="32">
        <f t="shared" si="2"/>
        <v>84</v>
      </c>
      <c r="T14" s="51">
        <v>1.2</v>
      </c>
      <c r="U14" s="32">
        <f t="shared" si="3"/>
        <v>3.5999999999999996</v>
      </c>
      <c r="W14" s="32">
        <f t="shared" si="4"/>
        <v>260.40000000000003</v>
      </c>
      <c r="Y14" s="32">
        <f t="shared" si="5"/>
        <v>3124.8</v>
      </c>
    </row>
    <row r="15" spans="1:25">
      <c r="A15" s="2"/>
    </row>
    <row r="16" spans="1:25" ht="15.75" thickBot="1">
      <c r="A16" s="2" t="s">
        <v>140</v>
      </c>
      <c r="P16" s="45">
        <f>SUM(P5:P15)</f>
        <v>4550.4000000000005</v>
      </c>
      <c r="S16" s="45">
        <f>SUM(S5:S15)</f>
        <v>2700</v>
      </c>
      <c r="U16" s="45">
        <f>SUM(U5:U15)</f>
        <v>135.6</v>
      </c>
      <c r="W16" s="45">
        <f>SUM(W5:W15)</f>
        <v>7385.9999999999982</v>
      </c>
    </row>
    <row r="17" spans="1:25" ht="15.75" thickTop="1">
      <c r="A17" s="2"/>
      <c r="P17" s="46"/>
      <c r="S17" s="46"/>
      <c r="U17" s="46"/>
      <c r="W17" s="46"/>
      <c r="Y17" s="46"/>
    </row>
    <row r="18" spans="1:25" ht="15.75" thickBot="1">
      <c r="A18" s="2" t="s">
        <v>141</v>
      </c>
      <c r="P18" s="45">
        <f>P16*12</f>
        <v>54604.800000000003</v>
      </c>
      <c r="S18" s="45">
        <f>S16*12</f>
        <v>32400</v>
      </c>
      <c r="U18" s="45">
        <f>U16*12</f>
        <v>1627.1999999999998</v>
      </c>
      <c r="W18" s="45">
        <f>W16*12</f>
        <v>88631.999999999971</v>
      </c>
      <c r="Y18" s="45">
        <f>SUM(Y5:Y17)</f>
        <v>88632.000000000029</v>
      </c>
    </row>
    <row r="19" spans="1:25" ht="15.75" thickTop="1">
      <c r="A19" s="2" t="s">
        <v>142</v>
      </c>
      <c r="W19" s="47">
        <f>P18+S18+U18-W18</f>
        <v>0</v>
      </c>
      <c r="Y19" s="47">
        <v>0</v>
      </c>
    </row>
    <row r="23" spans="1:25">
      <c r="A23" s="2" t="s">
        <v>143</v>
      </c>
    </row>
    <row r="24" spans="1:25">
      <c r="A24" s="48" t="s">
        <v>144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</row>
  </sheetData>
  <mergeCells count="6">
    <mergeCell ref="A13:A14"/>
    <mergeCell ref="A3:M3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DB1F-D2E9-4B38-A15A-63AF20C76406}">
  <dimension ref="B2:C7"/>
  <sheetViews>
    <sheetView workbookViewId="0">
      <selection activeCell="C14" sqref="C14"/>
    </sheetView>
  </sheetViews>
  <sheetFormatPr defaultRowHeight="15"/>
  <cols>
    <col min="2" max="2" width="60" bestFit="1" customWidth="1"/>
    <col min="3" max="3" width="26.28515625" customWidth="1"/>
  </cols>
  <sheetData>
    <row r="2" spans="2:3" ht="15.75">
      <c r="B2" s="50" t="s">
        <v>145</v>
      </c>
    </row>
    <row r="3" spans="2:3" ht="15.75">
      <c r="B3" s="50"/>
    </row>
    <row r="4" spans="2:3" ht="15.75">
      <c r="B4" s="50" t="s">
        <v>146</v>
      </c>
    </row>
    <row r="5" spans="2:3" ht="15.75">
      <c r="B5" s="50"/>
    </row>
    <row r="6" spans="2:3" ht="15.75">
      <c r="B6" s="50" t="s">
        <v>147</v>
      </c>
    </row>
    <row r="7" spans="2:3" ht="15.75">
      <c r="B7" s="52" t="s">
        <v>148</v>
      </c>
      <c r="C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Freeman, Bob</dc:creator>
  <cp:keywords/>
  <dc:description/>
  <cp:lastModifiedBy/>
  <cp:revision/>
  <dcterms:created xsi:type="dcterms:W3CDTF">2025-01-28T15:11:00Z</dcterms:created>
  <dcterms:modified xsi:type="dcterms:W3CDTF">2025-01-28T20:12:36Z</dcterms:modified>
  <cp:category/>
  <cp:contentStatus/>
</cp:coreProperties>
</file>