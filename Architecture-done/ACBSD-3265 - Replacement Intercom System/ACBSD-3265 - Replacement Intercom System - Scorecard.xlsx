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drawings/drawing1.xml" ContentType="application/vnd.openxmlformats-officedocument.drawing+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924"/>
  <workbookPr defaultThemeVersion="166925"/>
  <mc:AlternateContent xmlns:mc="http://schemas.openxmlformats.org/markup-compatibility/2006">
    <mc:Choice Requires="x15">
      <x15ac:absPath xmlns:x15ac="http://schemas.microsoft.com/office/spreadsheetml/2010/11/ac" url="https://aegonna-my.sharepoint.com/personal/mohamed_kerbachi_transamerica_com/Documents/Documents/ACBSD-3265 - Replacement Intercom System/"/>
    </mc:Choice>
  </mc:AlternateContent>
  <xr:revisionPtr revIDLastSave="11" documentId="13_ncr:1_{9C56575E-23F4-4454-8B78-E91C8D5A46D5}" xr6:coauthVersionLast="47" xr6:coauthVersionMax="47" xr10:uidLastSave="{D77CC480-0DAB-43F2-9A2C-853765951E70}"/>
  <bookViews>
    <workbookView xWindow="3900" yWindow="2040" windowWidth="25005" windowHeight="16500" xr2:uid="{5772EEC2-3782-8A48-AB2E-7C685ED1583E}"/>
  </bookViews>
  <sheets>
    <sheet name="Arch Alignment to Standandards" sheetId="11" r:id="rId1"/>
    <sheet name="Score Card-Patterns Futue State" sheetId="10" state="hidden" r:id="rId2"/>
    <sheet name="References" sheetId="8" state="hidden" r:id="rId3"/>
  </sheets>
  <definedNames>
    <definedName name="_xlnm._FilterDatabase" localSheetId="0" hidden="1">'Arch Alignment to Standandards'!$A$2:$G$30</definedName>
    <definedName name="_xlnm._FilterDatabase" localSheetId="1" hidden="1">'Score Card-Patterns Futue State'!$A$1:$G$29</definedName>
    <definedName name="Answers">References!$L$4:$L$7</definedName>
    <definedName name="Category" localSheetId="0">'Arch Alignment to Standandards'!#REF!</definedName>
    <definedName name="Category" localSheetId="1">'Score Card-Patterns Futue State'!#REF!</definedName>
    <definedName name="Category">#REF!</definedName>
    <definedName name="_xlnm.Criteria">References!$S$4:$S$7</definedName>
    <definedName name="Exception_Expiry" localSheetId="0">'Arch Alignment to Standandards'!#REF!</definedName>
    <definedName name="Exception_Expiry" localSheetId="1">'Score Card-Patterns Futue State'!#REF!</definedName>
    <definedName name="Exception_Expiry">#REF!</definedName>
    <definedName name="Exception_Granted" localSheetId="0">'Arch Alignment to Standandards'!#REF!</definedName>
    <definedName name="Exception_Granted" localSheetId="1">'Score Card-Patterns Futue State'!#REF!</definedName>
    <definedName name="Exception_Granted">#REF!</definedName>
    <definedName name="Gateways">References!$M$4:$M$9</definedName>
    <definedName name="Score" localSheetId="0">'Arch Alignment to Standandards'!$E$5:$E$1048576</definedName>
    <definedName name="Score" localSheetId="1">'Score Card-Patterns Futue State'!$E$4:$E$1048576</definedName>
    <definedName name="Score">#REF!</definedName>
    <definedName name="Version">References!#REF!</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28" i="11" l="1"/>
  <c r="E26" i="11"/>
  <c r="E30" i="11"/>
  <c r="E5" i="11"/>
  <c r="E17" i="11"/>
  <c r="E22" i="11"/>
  <c r="E31" i="10"/>
  <c r="E5" i="10" l="1"/>
  <c r="E6" i="11"/>
  <c r="E16" i="11"/>
  <c r="E15" i="11"/>
  <c r="E13" i="11"/>
  <c r="E11" i="11"/>
  <c r="E12" i="11"/>
  <c r="E9" i="11"/>
  <c r="E8" i="11"/>
  <c r="E29" i="11"/>
  <c r="E27" i="11"/>
  <c r="E25" i="11"/>
  <c r="E24" i="11"/>
  <c r="E23" i="11"/>
  <c r="E21" i="11"/>
  <c r="E20" i="11"/>
  <c r="E19" i="11"/>
  <c r="E18" i="11"/>
  <c r="E14" i="11"/>
  <c r="E10" i="11"/>
  <c r="E7" i="11"/>
  <c r="E4" i="11"/>
  <c r="E4" i="10"/>
  <c r="E23" i="10"/>
  <c r="E24" i="10"/>
  <c r="E28" i="10"/>
  <c r="E26" i="10"/>
  <c r="E25" i="10"/>
  <c r="E15" i="10"/>
  <c r="E22" i="10"/>
  <c r="E19" i="10"/>
  <c r="E14" i="10"/>
  <c r="E6" i="10"/>
  <c r="E27" i="10"/>
  <c r="E17" i="10"/>
  <c r="E16" i="10"/>
  <c r="E13" i="10"/>
  <c r="E3" i="10"/>
  <c r="E29" i="10"/>
  <c r="E18" i="10"/>
  <c r="E7" i="10"/>
  <c r="E8" i="10"/>
  <c r="E21" i="10"/>
  <c r="E9" i="10"/>
  <c r="E12" i="10"/>
  <c r="E20" i="10"/>
  <c r="E11" i="10"/>
  <c r="E10" i="10"/>
  <c r="E1" i="11"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tc={90028B18-44D2-4204-9ED5-622CF192F4E6}</author>
    <author>Apel, Nick</author>
    <author>tc={B091C3EB-AF85-4474-A086-F2DAA061EE74}</author>
    <author>tc={B56E5914-80E7-4D57-88F3-B3E3CE558F2C}</author>
    <author>tc={B25493C8-B4A8-41FF-9015-16E02E6C3D93}</author>
    <author>tc={FBBEE1B1-680C-4B57-8467-51C864BEF5A8}</author>
    <author>tc={C6D1A7DA-43A8-4353-BF6E-A4144D61781E}</author>
    <author>tc={17CBB31F-8E20-4430-B312-9B96A327FDAF}</author>
    <author>tc={9B4BC5E9-DD48-4617-8D90-716F12A61DEF}</author>
    <author>tc={CE337727-2D35-464D-BAFC-91EFDFDD9147}</author>
    <author>tc={B6E96020-7805-4054-B7B4-07F64C783A43}</author>
    <author>tc={A6A348B5-7BF7-4DEB-8D97-7E18CC834A0B}</author>
    <author>tc={7AE98B2D-F06B-4D3B-B926-9149FF09130F}</author>
    <author>tc={46BEA9A0-5AEF-4E8E-89B3-B481A4264AED}</author>
    <author>tc={C973E0FA-C726-4CE4-852F-BAECF2044235}</author>
  </authors>
  <commentList>
    <comment ref="C2" authorId="0" shapeId="0" xr:uid="{90028B18-44D2-4204-9ED5-622CF192F4E6}">
      <text>
        <t>[Threaded comment]
Your version of Excel allows you to read this threaded comment; however, any edits to it will get removed if the file is opened in a newer version of Excel. Learn more: https://go.microsoft.com/fwlink/?linkid=870924
Comment:
    General Question to add. 
Are the documents in the standard templates and diagrams following ArchiMate?</t>
      </text>
    </comment>
    <comment ref="F2" authorId="1" shapeId="0" xr:uid="{0140CED5-E51B-4B60-AC4D-6ECB24AC8857}">
      <text>
        <r>
          <rPr>
            <b/>
            <sz val="9"/>
            <color indexed="81"/>
            <rFont val="Tahoma"/>
            <family val="2"/>
          </rPr>
          <t>Populate this column if Column E indicates the technology solution is not aligned to Architecture Standards OR if an exception was granted for the solution, thereby allowing the solution to be approved with exception.</t>
        </r>
        <r>
          <rPr>
            <sz val="9"/>
            <color indexed="81"/>
            <rFont val="Tahoma"/>
            <family val="2"/>
          </rPr>
          <t xml:space="preserve">
</t>
        </r>
      </text>
    </comment>
    <comment ref="C3" authorId="2" shapeId="0" xr:uid="{B091C3EB-AF85-4474-A086-F2DAA061EE74}">
      <text>
        <t>[Threaded comment]
Your version of Excel allows you to read this threaded comment; however, any edits to it will get removed if the file is opened in a newer version of Excel. Learn more: https://go.microsoft.com/fwlink/?linkid=870924
Comment:
    Please correct spelling of architecture in C3</t>
      </text>
    </comment>
    <comment ref="C4" authorId="3" shapeId="0" xr:uid="{B56E5914-80E7-4D57-88F3-B3E3CE558F2C}">
      <text>
        <t>[Threaded comment]
Your version of Excel allows you to read this threaded comment; however, any edits to it will get removed if the file is opened in a newer version of Excel. Learn more: https://go.microsoft.com/fwlink/?linkid=870924
Comment:
    It would be good to include Data, Security etc in here</t>
      </text>
    </comment>
    <comment ref="C6" authorId="4" shapeId="0" xr:uid="{B25493C8-B4A8-41FF-9015-16E02E6C3D93}">
      <text>
        <t>[Threaded comment]
Your version of Excel allows you to read this threaded comment; however, any edits to it will get removed if the file is opened in a newer version of Excel. Learn more: https://go.microsoft.com/fwlink/?linkid=870924
Comment:
    For Data sovereignty reasons? Suggest we make it explicit and outline that the Architect should consider it as part of his design. 
Reply:
    This questions assesses the solution to ensure the solution utilizes approved regions - if it does not, an exception needs to be documented and approved.</t>
      </text>
    </comment>
    <comment ref="C7" authorId="5" shapeId="0" xr:uid="{FBBEE1B1-680C-4B57-8467-51C864BEF5A8}">
      <text>
        <t xml:space="preserve">[Threaded comment]
Your version of Excel allows you to read this threaded comment; however, any edits to it will get removed if the file is opened in a newer version of Excel. Learn more: https://go.microsoft.com/fwlink/?linkid=870924
Comment:
    Is this really a Task for an Architect. Usually this would be done by the Engineer or a PM. 
Reply:
    The question validates that new technology components being introduced to the IT landscape by the solution have been onboarded into CMDB. It's not an architecture responsibility to complete the CMDB onboarding, but it is an architecture responsibility to verify the components have been onboarded into CMDB prior to final ARB. </t>
      </text>
    </comment>
    <comment ref="C8" authorId="6" shapeId="0" xr:uid="{C6D1A7DA-43A8-4353-BF6E-A4144D61781E}">
      <text>
        <t xml:space="preserve">[Threaded comment]
Your version of Excel allows you to read this threaded comment; however, any edits to it will get removed if the file is opened in a newer version of Excel. Learn more: https://go.microsoft.com/fwlink/?linkid=870924
Comment:
    Rows 8- 12 seem to be matching to standard GTS requirements.  
Would it not be better for the Architect to list all requirements and demonstrate where in the solution the requirement is met. This should considered during the peer review.  
Reply:
    The solution design document and ARB presentation templates are being refined to account for these items.  Questions 8 - 12 assess the design to ensure that the items are accounted for within the solution design or that the items are intentionally not in scope.  When standard patterns are defined to account for these items, then the questions will change to assess alignment to standard patterns or document that the item is not in scope for the solution. </t>
      </text>
    </comment>
    <comment ref="G10" authorId="7" shapeId="0" xr:uid="{17CBB31F-8E20-4430-B312-9B96A327FDAF}">
      <text>
        <t>[Threaded comment]
Your version of Excel allows you to read this threaded comment; however, any edits to it will get removed if the file is opened in a newer version of Excel. Learn more: https://go.microsoft.com/fwlink/?linkid=870924
Comment:
    Will these be updated to reflect the move to Platinum, Gold, Silver &amp; Bronze. Is that still happening?</t>
      </text>
    </comment>
    <comment ref="C17" authorId="8" shapeId="0" xr:uid="{9B4BC5E9-DD48-4617-8D90-716F12A61DEF}">
      <text>
        <t>[Threaded comment]
Your version of Excel allows you to read this threaded comment; however, any edits to it will get removed if the file is opened in a newer version of Excel. Learn more: https://go.microsoft.com/fwlink/?linkid=870924
Comment:
    This is more a Engineering \ PM question rather than a Architecture question. 
Are Architects involved with handover to operations?</t>
      </text>
    </comment>
    <comment ref="C18" authorId="9" shapeId="0" xr:uid="{CE337727-2D35-464D-BAFC-91EFDFDD9147}">
      <text>
        <t>[Threaded comment]
Your version of Excel allows you to read this threaded comment; however, any edits to it will get removed if the file is opened in a newer version of Excel. Learn more: https://go.microsoft.com/fwlink/?linkid=870924
Comment:
    My view this should be in the design ARB as well. 
Reply:
    I agree that this is a longer term objective - to have patterns defined and approved in repository to use for solution design.  However, we are not yet at an architecture maturity level for this to be the case.  After we establish the repository and have it hydrated with standards, then we can evaluate changing the scope of this question to be not just tied to the Final ARB, but to the Design ARB as well.</t>
      </text>
    </comment>
    <comment ref="C20" authorId="10" shapeId="0" xr:uid="{B6E96020-7805-4054-B7B4-07F64C783A43}">
      <text>
        <t>[Threaded comment]
Your version of Excel allows you to read this threaded comment; however, any edits to it will get removed if the file is opened in a newer version of Excel. Learn more: https://go.microsoft.com/fwlink/?linkid=870924
Comment:
    Is this required for the design ARB. Seems a lot of detail that the Architect would not necessarily have to hand
Reply:
    Yes, this is required for design ARB. Architecture needs to understand the technology components that are impacted by a solution design and type of  impact (i.e., enhance, decommission, addition).  Architecture solution design document and ARB presentation templates are being updated to include the Impacted Technology Components table.</t>
      </text>
    </comment>
    <comment ref="C22" authorId="11" shapeId="0" xr:uid="{A6A348B5-7BF7-4DEB-8D97-7E18CC834A0B}">
      <text>
        <t>[Threaded comment]
Your version of Excel allows you to read this threaded comment; however, any edits to it will get removed if the file is opened in a newer version of Excel. Learn more: https://go.microsoft.com/fwlink/?linkid=870924
Comment:
    Would the question be better as ' Does the solution use the standard secrets management service?
Reply:
    Where we have established standards, answers options will ask for the standard to be selected as the answer.  Over time, as additional standards are defined, questions will be changed from yes / no to instead list the standards as options for answers.</t>
      </text>
    </comment>
    <comment ref="C25" authorId="12" shapeId="0" xr:uid="{7AE98B2D-F06B-4D3B-B926-9149FF09130F}">
      <text>
        <t>[Threaded comment]
Your version of Excel allows you to read this threaded comment; however, any edits to it will get removed if the file is opened in a newer version of Excel. Learn more: https://go.microsoft.com/fwlink/?linkid=870924
Comment:
    Why is the wording approval? My understanding is that the prearb is not Approval but rather sponsor</t>
      </text>
    </comment>
    <comment ref="C28" authorId="13" shapeId="0" xr:uid="{46BEA9A0-5AEF-4E8E-89B3-B481A4264AED}">
      <text>
        <t>[Threaded comment]
Your version of Excel allows you to read this threaded comment; however, any edits to it will get removed if the file is opened in a newer version of Excel. Learn more: https://go.microsoft.com/fwlink/?linkid=870924
Comment:
    Why only final ARB. Does QA and Security review and sponsor at all stages. 
Reply:
    This question is a part of the scorecard to confirm that there are no additional changes that would require a re-validation of the architecture prior to ARB sign off of the Final ARB.</t>
      </text>
    </comment>
    <comment ref="C30" authorId="14" shapeId="0" xr:uid="{C973E0FA-C726-4CE4-852F-BAECF2044235}">
      <text>
        <t>[Threaded comment]
Your version of Excel allows you to read this threaded comment; however, any edits to it will get removed if the file is opened in a newer version of Excel. Learn more: https://go.microsoft.com/fwlink/?linkid=870924
Comment:
    There should be weighting to the questions (or some of them). This one for example should have a bigger impact</t>
      </text>
    </comment>
  </commentList>
</comments>
</file>

<file path=xl/sharedStrings.xml><?xml version="1.0" encoding="utf-8"?>
<sst xmlns="http://schemas.openxmlformats.org/spreadsheetml/2006/main" count="404" uniqueCount="250">
  <si>
    <t>Architecture Alignment to Standards:</t>
  </si>
  <si>
    <t>Category</t>
  </si>
  <si>
    <t>Review Group</t>
  </si>
  <si>
    <t>Question</t>
  </si>
  <si>
    <t>Answer</t>
  </si>
  <si>
    <t>Architecture Standards &amp; Policies Alignment Score</t>
  </si>
  <si>
    <t>Architecture Risk Exception Link or Justification</t>
  </si>
  <si>
    <t>Where to find more information to be able to answer this question or complete the activity for being able to answer the question</t>
  </si>
  <si>
    <t>Architecture</t>
  </si>
  <si>
    <t>What is the type of archtiecture review board approval requested?</t>
  </si>
  <si>
    <t>N/A</t>
  </si>
  <si>
    <t>https://aegonna.sharepoint.com/sites/GEA/SitePages/Architecture-Exceptions.aspx</t>
  </si>
  <si>
    <t>Has the architecture been peer reviewed and has all feedback been addressed to the reviewers' satisfaction?</t>
  </si>
  <si>
    <t>Will the solution be deployed to an approved environment (Physical DataCenter, AWS, Azure, SaaS, PaaS)?</t>
  </si>
  <si>
    <t>What region is the solution hosted in?</t>
  </si>
  <si>
    <t>If this is a Project Solution - Final ARB, are new Business Applications introduced by the solution registered in CMDB?</t>
  </si>
  <si>
    <t>CMDB Link</t>
  </si>
  <si>
    <t>Are observability, monitoring, and logging requirements defined and accounted for within the solution design and architecture?</t>
  </si>
  <si>
    <t>Are fault tolerance and resiliency requirements defined and accounted for within the solution design and architecture (high availability, failover, redundancy, scalability)?</t>
  </si>
  <si>
    <t>What is the Availability Objective for the solution?</t>
  </si>
  <si>
    <t>Availability Objectives</t>
  </si>
  <si>
    <t>Is the solution architecture aligned with disaster recovery requirements for the solution?</t>
  </si>
  <si>
    <t>Is the solution architecture aligned with backup/recovery requirements for the solution?</t>
  </si>
  <si>
    <t>Is the deployment pattern for the solution documented within the solution architecture?</t>
  </si>
  <si>
    <t>Is the solution aligned with GTS Enterprise Architecture Principles?</t>
  </si>
  <si>
    <t>GTS Architecture Principles</t>
  </si>
  <si>
    <t>If the solution interfaces with an application or exchanges data with an application that is a non-Aegon entity, are the  approved pattern(s) for third party integration documented within the solution architecture?</t>
  </si>
  <si>
    <t>GTS Architecture Repository - https://aegonna.sharepoint.com/sites/GEA/SitePages/Architecture-Documents.aspx
Global Architecture Repository - https://aegonna.sharepoint.com/sites/GTS-GlobalARB/SitePages/Global-Architecture-Repository.aspx</t>
  </si>
  <si>
    <t>If the solution interfaces with an intenal application or exchanges data with an internal application, are the approved patterns for internal integration documented within the solution architecture?</t>
  </si>
  <si>
    <t>CSAT</t>
  </si>
  <si>
    <t xml:space="preserve">If this is a Project Solution - Final ARB, does the solution use approved machine / container images? </t>
  </si>
  <si>
    <t>Link to Approved Container/Images Documentation Needs to be Added Here - update anwer to account for not applicable</t>
  </si>
  <si>
    <t>GEA Review Board, Pre-ARB???</t>
  </si>
  <si>
    <t>If this is a Project Solution - Final ARB, are component standards, architecture design patterns, and reference architectures utilized by the solution in the GTS or Global architecture repository?</t>
  </si>
  <si>
    <t>Has the solution passed the BU Architecture Board review?</t>
  </si>
  <si>
    <t>Within the ARB presentation, is the Impacted Technology Components table populated, including CMDB IDs for all technology components currently in production?</t>
  </si>
  <si>
    <t>If the solution is dependent on identity, what is the identity management / identity provider utilized by the solution?</t>
  </si>
  <si>
    <t>What Secrets Vault is used for secrets management?</t>
  </si>
  <si>
    <t>Compliance &amp; Risk</t>
  </si>
  <si>
    <t>Does this technology solution require a Technology Risk Assessment (TRA) and is the TRA complete?</t>
  </si>
  <si>
    <t>Link to Technology Risk Assessment Sharepoint Site</t>
  </si>
  <si>
    <t>If this is a Final ARB, is GTS Internal Controls &amp; Compliance sign off / approval attached to GTS ARB agenda request?</t>
  </si>
  <si>
    <t>To initiate this request, contact Mark Scarloss</t>
  </si>
  <si>
    <t>Data Privacy</t>
  </si>
  <si>
    <t>Data Governance</t>
  </si>
  <si>
    <t>If this is a Final ARB, is GTS Data Privacy Officer sign off / approval attached to GTS ARB agenda request?</t>
  </si>
  <si>
    <t>To initiate this request, contact Adam Kaminsky</t>
  </si>
  <si>
    <t>If this is a Project Solution - Design or Project Solution - Final ARB, and the solution leverages new data sources or new use cases for data, has a Data Privacy Impact Assessment (DPIA) been completed?</t>
  </si>
  <si>
    <t xml:space="preserve">Refer to the ITCF Framework and ICTF P04.01.02 Information Security Classification Standard for guidance on data classification the controls for processing, storing and transmitting data.
- ITCF Framework: 
https://aegonna.sharepoint.com/sites/GTS-ICC/Intranet/ITCF/Shared%20Documents/Aegon%20Global%20IT%20Control%20Framework.pdf
- ICTF P04.01.02 Information Security Classification Standard:
https://aegonna.sharepoint.com/sites/GTS-ICC/Intranet/ITCF/Shared Documents/Forms/AllItems.aspx?id=%2Fsites%2FGTS%2DICC%2FIntranet%2FITCF%2FShared%20Documents%2FEnablers%20%26%20Checklists%2FProtect%20Domain%2FP04%2E01%2E02%20%2D%20Information%20Security%20Classification%20Standard%2Epdf&amp;parent=%2Fsites%2FGTS%2DICC%2FIntranet%2FITCF%2FShared%20Documents%2FEnablers%20%26%20Checklists%2FProtect%20Domain
</t>
  </si>
  <si>
    <t>Infrastructure</t>
  </si>
  <si>
    <t>If there are impacts to Infrastructure, is infrastructure sign off attached to GTS ARB agenda request?</t>
  </si>
  <si>
    <t>Stefan Simenon is the Infrastructure Representative</t>
  </si>
  <si>
    <t>Quality Assurance</t>
  </si>
  <si>
    <t>If this scorecared is for a Project Solution - Final ARB, does the technology lead responsible for the implementation agree that the solution has been tested and is ready for Project Solution - Final ARB?</t>
  </si>
  <si>
    <t>This question is a part of the scorecard to confirm that there are no additional changes that would require a re-validation of the architecture prior to ARB sign off of the Final ARB.</t>
  </si>
  <si>
    <t>Security</t>
  </si>
  <si>
    <t>If this is a Project Solution - Final ARB, is the Security Review completed and sign off / approval attached to GTS ARB agenda request?</t>
  </si>
  <si>
    <t>Representative is in ARB Readiness - Nick Russel, Chad Hunter, or Jeff Bain</t>
  </si>
  <si>
    <t>CCAT</t>
  </si>
  <si>
    <t>Does the solution introduce new critical or high vulnerabilities that are unresolved?</t>
  </si>
  <si>
    <t>Exception - Architecture Risk Exception Link or Justification - Populate this column if Column E indicates the technology solution is not aligned to Architecture Standards or Policies</t>
  </si>
  <si>
    <t>Software/Hardware Acquisition</t>
  </si>
  <si>
    <t>Yes</t>
  </si>
  <si>
    <t>What environment will the solution be deployed to (Physical DataCenter, AWS, Azure, SaaS, PaaS)?</t>
  </si>
  <si>
    <t>Not Applicable</t>
  </si>
  <si>
    <t>US - ADC - Cedar Rapids</t>
  </si>
  <si>
    <t>If this is a project solution - Final ARB, are new technology components introduced by the solution registered in CMDB?</t>
  </si>
  <si>
    <t>No</t>
  </si>
  <si>
    <t>What Observability Pattern is used for the solution?</t>
  </si>
  <si>
    <t>Observability requirement is not defined</t>
  </si>
  <si>
    <t>Link to Observability Patterns needs to be added here</t>
  </si>
  <si>
    <t>What is the Resiliency Pattern for the solution?</t>
  </si>
  <si>
    <t>Resiliency is not a requirement</t>
  </si>
  <si>
    <t>Link to Resiliency Patterns needs to be added here</t>
  </si>
  <si>
    <t>Availability is not a requirement</t>
  </si>
  <si>
    <t>What is the Disaster Recovery Pattern for the solution?</t>
  </si>
  <si>
    <t>DR requirement is not defined</t>
  </si>
  <si>
    <t>Link to Disaster Recovery Patterns needs to be added here</t>
  </si>
  <si>
    <t>What is the Backup Pattern for the solution?</t>
  </si>
  <si>
    <t>Backup requirement is not defined</t>
  </si>
  <si>
    <t>Link to Backup Patterns needs to be added here</t>
  </si>
  <si>
    <t>What is the Deployment Pattern used for the solution?</t>
  </si>
  <si>
    <t>Deployment requirement is not defined</t>
  </si>
  <si>
    <t>Link to Deployment Patterns needs to be added here</t>
  </si>
  <si>
    <t>Partial</t>
  </si>
  <si>
    <t>If the solution interfaces with an application or exchanges data with an application that is a non-Aegon entity, what are the approved pattern(s) used for integration with the third party?</t>
  </si>
  <si>
    <t>Multiple Approved Third Party Integration Patterns</t>
  </si>
  <si>
    <t>Link to Third Party Integration Patterns needs to be added here</t>
  </si>
  <si>
    <t>If the solution interfaces with an intenal application or exchanges data with an internal application, what are the approved pattern(s) used for integration?</t>
  </si>
  <si>
    <t>Multiple Approved Internal Integration Patterns</t>
  </si>
  <si>
    <t>Link to Internal Integration Patterns needs to be added here</t>
  </si>
  <si>
    <t xml:space="preserve">If this is a final ARB, does solution use approved machine / container images? </t>
  </si>
  <si>
    <t>Link to Approved Container/Images Documentation Needs to be Added Here</t>
  </si>
  <si>
    <t>Not Final ARB</t>
  </si>
  <si>
    <t>Not Applicable For This Type of ARB</t>
  </si>
  <si>
    <t>Ping</t>
  </si>
  <si>
    <t>AWS Secrets Manager</t>
  </si>
  <si>
    <t>Yes - TRA is required and not complete</t>
  </si>
  <si>
    <t>Yes - With Exception</t>
  </si>
  <si>
    <t>If this is a Final ARB, is GTS Data Governance sign off / approval attached to GTS ARB agenda request?</t>
  </si>
  <si>
    <t>Instructions for submitting request for Data Governance review need to be added here.</t>
  </si>
  <si>
    <t>If this is a project solution - design or project solution - final ARB, and the solution leverages new data sources or new use cases for data, has a Data Protection Impact Assessment (DPIA) been completed?</t>
  </si>
  <si>
    <t>Solution Does Not Requre a Data Protection Impact Assessment</t>
  </si>
  <si>
    <t>If this is Final ARB and there are impacts to Infrastructure, is infrastructure sign off attached to GTS ARB agenda request?</t>
  </si>
  <si>
    <t>Assigned Infrastructure Manager/Engineer for the initiative is the person to provide the sign off</t>
  </si>
  <si>
    <t>If this scorecared is for a Final ARB, are the test results summary and validation results summary documented and signed off by the technology lead responsible for the implementation</t>
  </si>
  <si>
    <t>This question in a part of the ARB to confirm that there are no additional changes that would require a re-validation of the architecture prior to ARB sign off of the Final ARB.</t>
  </si>
  <si>
    <t>If this is a Final ARB, is the Security Review completed and sign off / approval attached to GTS ARB agenda request?</t>
  </si>
  <si>
    <t>Instructions for initiating Security Review and Sign Off Request need to be added here.</t>
  </si>
  <si>
    <t>Password to unlock cells is:</t>
  </si>
  <si>
    <t>Observability Pattern (If there are various patterns for observability - currently, the question is a yes / no with no impact on score)</t>
  </si>
  <si>
    <t>Deployment Patterns</t>
  </si>
  <si>
    <t>Back Up Pattern</t>
  </si>
  <si>
    <t>Disaster Recovery Pattern</t>
  </si>
  <si>
    <t>Third Party Integration Pattern</t>
  </si>
  <si>
    <t>Resiliency Patterns</t>
  </si>
  <si>
    <t>Internal Integration Pattern</t>
  </si>
  <si>
    <t>Answers</t>
  </si>
  <si>
    <t>Gateways</t>
  </si>
  <si>
    <t>Vulnerabilities</t>
  </si>
  <si>
    <t>Sensitive Data</t>
  </si>
  <si>
    <t>Data Residency</t>
  </si>
  <si>
    <t>Security Risk Rating</t>
  </si>
  <si>
    <t>Gateway Number</t>
  </si>
  <si>
    <t>Criteria</t>
  </si>
  <si>
    <t>Datacenters</t>
  </si>
  <si>
    <t>Regions</t>
  </si>
  <si>
    <t>IDPs</t>
  </si>
  <si>
    <t>Secret Vault</t>
  </si>
  <si>
    <t>Architecture Principles</t>
  </si>
  <si>
    <t>Architecture Review Board Type</t>
  </si>
  <si>
    <t>Yes, No, N/A</t>
  </si>
  <si>
    <t>gea</t>
  </si>
  <si>
    <t>Observability Pattern Name 1</t>
  </si>
  <si>
    <t>Deployment Pattern Name 1</t>
  </si>
  <si>
    <t>Backup Pattern Name 1</t>
  </si>
  <si>
    <t>DR Pattern Name 1</t>
  </si>
  <si>
    <t>Third Party Integration Pattern Name 1</t>
  </si>
  <si>
    <t>Resiliency Pattern Name 1</t>
  </si>
  <si>
    <t>Internal Integration Pattern Name 1</t>
  </si>
  <si>
    <t>99.9% Availability</t>
  </si>
  <si>
    <t>Intake</t>
  </si>
  <si>
    <t>High</t>
  </si>
  <si>
    <t>Compliance</t>
  </si>
  <si>
    <t>Physical Datacenter</t>
  </si>
  <si>
    <t>CyberArk Conjur</t>
  </si>
  <si>
    <t>Capability Driven</t>
  </si>
  <si>
    <t>Proof of Concept</t>
  </si>
  <si>
    <t>Observability Pattern Name 2</t>
  </si>
  <si>
    <t>Deployment Pattern Name 2</t>
  </si>
  <si>
    <t>Backup Pattern Name 2</t>
  </si>
  <si>
    <t>DR Pattern Name 2</t>
  </si>
  <si>
    <t>Third Party Integration Pattern Name 2</t>
  </si>
  <si>
    <t>Resiliency Pattern Name 2</t>
  </si>
  <si>
    <t>Internal Integration Pattern Name 2</t>
  </si>
  <si>
    <t>99.8% Availability</t>
  </si>
  <si>
    <t>Motivation &amp; Foundation</t>
  </si>
  <si>
    <t>Medium</t>
  </si>
  <si>
    <t>AWS</t>
  </si>
  <si>
    <t>EU - EDC - Edinburgh</t>
  </si>
  <si>
    <t>PingOne</t>
  </si>
  <si>
    <t>Data Excellence</t>
  </si>
  <si>
    <t>Observability Pattern Name 3</t>
  </si>
  <si>
    <t>Deployment Pattern Name 3</t>
  </si>
  <si>
    <t>Backup Pattern Name 3</t>
  </si>
  <si>
    <t>DR Pattern Name 3</t>
  </si>
  <si>
    <t>Third Party Integration Pattern Name 3</t>
  </si>
  <si>
    <t>Resiliency Pattern Name 3</t>
  </si>
  <si>
    <t>Internal Integration Pattern Name 3</t>
  </si>
  <si>
    <t>99.5% Availability</t>
  </si>
  <si>
    <t>Baseline &amp; Target</t>
  </si>
  <si>
    <t>Don't know</t>
  </si>
  <si>
    <t>Solution does not introduce or use sensitive data</t>
  </si>
  <si>
    <t>Solution does not introduce or use data with residency requirements</t>
  </si>
  <si>
    <t>Low</t>
  </si>
  <si>
    <t>Azure</t>
  </si>
  <si>
    <t>AWS - Ireland</t>
  </si>
  <si>
    <t>ISAM</t>
  </si>
  <si>
    <t>other</t>
  </si>
  <si>
    <t>Future Proof</t>
  </si>
  <si>
    <t>Component Architecture Standard</t>
  </si>
  <si>
    <t>Observability Pattern Name 4</t>
  </si>
  <si>
    <t>Deployment Pattern Name 4</t>
  </si>
  <si>
    <t>Backup Pattern Name 4</t>
  </si>
  <si>
    <t>DR Pattern Name 4</t>
  </si>
  <si>
    <t>Third Party Integration Pattern Name 4</t>
  </si>
  <si>
    <t>Resiliency Pattern Name 4</t>
  </si>
  <si>
    <t>Internal Integration Pattern Name 4</t>
  </si>
  <si>
    <t>99.0% Availability</t>
  </si>
  <si>
    <t>Transformation Roadmap</t>
  </si>
  <si>
    <t>Vulnerability Management/Scanning is not a requirement for the solution</t>
  </si>
  <si>
    <t>Security Risk Rating does not apply / is not required</t>
  </si>
  <si>
    <t>SaaS</t>
  </si>
  <si>
    <t>AWS - N. Virginia</t>
  </si>
  <si>
    <t>TACACS+</t>
  </si>
  <si>
    <t>Secrets management is not a requirement</t>
  </si>
  <si>
    <t>Interoperable</t>
  </si>
  <si>
    <t>Architecture Design Pattern</t>
  </si>
  <si>
    <t>Observability Pattern Name 5</t>
  </si>
  <si>
    <t>Deployment Pattern Name 5</t>
  </si>
  <si>
    <t>Backup is not a requirement</t>
  </si>
  <si>
    <t>DR is not a requirement</t>
  </si>
  <si>
    <t>Third Party Integration Pattern Name 5</t>
  </si>
  <si>
    <t>Resiliency requirement is not defined</t>
  </si>
  <si>
    <t>Internal Integration Pattern Name 5</t>
  </si>
  <si>
    <t>Availability requirement is not defined</t>
  </si>
  <si>
    <t>Don't Know</t>
  </si>
  <si>
    <t>Realization</t>
  </si>
  <si>
    <t>Unknown</t>
  </si>
  <si>
    <t>Risk &amp; Compliance</t>
  </si>
  <si>
    <t>PaaS</t>
  </si>
  <si>
    <t>AWS - Ohio</t>
  </si>
  <si>
    <t>OKTA</t>
  </si>
  <si>
    <t>Secrets management requirement is not defined</t>
  </si>
  <si>
    <t>Modern</t>
  </si>
  <si>
    <t>Reference Architecture</t>
  </si>
  <si>
    <t>Observability is not a requirement</t>
  </si>
  <si>
    <t>Deployment Pattern Name 6</t>
  </si>
  <si>
    <t>Third Party Integration Pattern Name 6</t>
  </si>
  <si>
    <t>Internal Integration Pattern Name 6</t>
  </si>
  <si>
    <t>Complete</t>
  </si>
  <si>
    <t>Operational Readiness</t>
  </si>
  <si>
    <t>Other</t>
  </si>
  <si>
    <t>Azure - Northern Europe</t>
  </si>
  <si>
    <t>Reliable</t>
  </si>
  <si>
    <t>Project Solution - Design</t>
  </si>
  <si>
    <t>Deployment is not a requirement</t>
  </si>
  <si>
    <t>Multiple Approved</t>
  </si>
  <si>
    <t>Azure - East US</t>
  </si>
  <si>
    <t>Identity is not a part of the solution</t>
  </si>
  <si>
    <t>Secure</t>
  </si>
  <si>
    <t>Project Solution - Final</t>
  </si>
  <si>
    <t>AWS - Multiple Approved</t>
  </si>
  <si>
    <t>Standardized</t>
  </si>
  <si>
    <t>Architecture Controls, Policies or Standards</t>
  </si>
  <si>
    <t>Third party integration is not a requirement</t>
  </si>
  <si>
    <t>Internal Integration is not a requirement</t>
  </si>
  <si>
    <t>Azure - Multiple Approved</t>
  </si>
  <si>
    <t>Transparent</t>
  </si>
  <si>
    <t>Architecture Exception</t>
  </si>
  <si>
    <t>Both ADC and EDC</t>
  </si>
  <si>
    <t>Value Oriented</t>
  </si>
  <si>
    <t>Date </t>
  </si>
  <si>
    <t>Author/updated by </t>
  </si>
  <si>
    <t>Comments </t>
  </si>
  <si>
    <t>Bernard Jauregui</t>
  </si>
  <si>
    <t>First Draft</t>
  </si>
  <si>
    <t>Released for comment</t>
  </si>
  <si>
    <t>No - TRA is Not Required</t>
  </si>
  <si>
    <t>Solution doesn't use machine / container images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</si>
</sst>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numFmts>
  <fonts count="10" x14ac:knownFonts="1">
    <font>
      <sz val="12"/>
      <color theme="1"/>
      <name val="Calibri"/>
      <family val="2"/>
      <scheme val="minor"/>
    </font>
    <font>
      <b/>
      <sz val="12"/>
      <color theme="0"/>
      <name val="Calibri"/>
      <family val="2"/>
      <scheme val="minor"/>
    </font>
    <font>
      <b/>
      <sz val="12"/>
      <color theme="1"/>
      <name val="Calibri"/>
      <family val="2"/>
      <scheme val="minor"/>
    </font>
    <font>
      <sz val="10"/>
      <name val="Arial"/>
      <family val="2"/>
    </font>
    <font>
      <sz val="9"/>
      <name val="Segoe UI"/>
      <family val="2"/>
    </font>
    <font>
      <u/>
      <sz val="12"/>
      <color theme="10"/>
      <name val="Calibri"/>
      <family val="2"/>
      <scheme val="minor"/>
    </font>
    <font>
      <sz val="12"/>
      <name val="Calibri"/>
      <family val="2"/>
      <scheme val="minor"/>
    </font>
    <font>
      <sz val="8"/>
      <name val="Calibri"/>
      <family val="2"/>
      <scheme val="minor"/>
    </font>
    <font>
      <sz val="9"/>
      <color indexed="81"/>
      <name val="Tahoma"/>
      <family val="2"/>
    </font>
    <font>
      <b/>
      <sz val="9"/>
      <color indexed="81"/>
      <name val="Tahoma"/>
      <family val="2"/>
    </font>
  </fonts>
  <fills count="8">
    <fill>
      <patternFill patternType="none"/>
    </fill>
    <fill>
      <patternFill patternType="gray125"/>
    </fill>
    <fill>
      <patternFill patternType="solid">
        <fgColor rgb="FF0070C0"/>
        <bgColor indexed="64"/>
      </patternFill>
    </fill>
    <fill>
      <patternFill patternType="solid">
        <fgColor rgb="FFF2F2F2"/>
        <bgColor indexed="64"/>
      </patternFill>
    </fill>
    <fill>
      <patternFill patternType="solid">
        <fgColor theme="0" tint="-0.14999847407452621"/>
        <bgColor indexed="64"/>
      </patternFill>
    </fill>
    <fill>
      <patternFill patternType="solid">
        <fgColor theme="0"/>
        <bgColor indexed="64"/>
      </patternFill>
    </fill>
    <fill>
      <patternFill patternType="solid">
        <fgColor theme="9" tint="0.79998168889431442"/>
        <bgColor indexed="64"/>
      </patternFill>
    </fill>
    <fill>
      <patternFill patternType="solid">
        <fgColor theme="4"/>
        <bgColor indexed="64"/>
      </patternFill>
    </fill>
  </fills>
  <borders count="10">
    <border>
      <left/>
      <right/>
      <top/>
      <bottom/>
      <diagonal/>
    </border>
    <border>
      <left/>
      <right/>
      <top style="thin">
        <color indexed="64"/>
      </top>
      <bottom/>
      <diagonal/>
    </border>
    <border>
      <left/>
      <right/>
      <top style="thin">
        <color rgb="FF000000"/>
      </top>
      <bottom style="medium">
        <color rgb="FF000000"/>
      </bottom>
      <diagonal/>
    </border>
    <border>
      <left/>
      <right style="thin">
        <color rgb="FF000000"/>
      </right>
      <top style="thin">
        <color rgb="FF000000"/>
      </top>
      <bottom style="medium">
        <color rgb="FF000000"/>
      </bottom>
      <diagonal/>
    </border>
    <border>
      <left/>
      <right style="thin">
        <color rgb="FF000000"/>
      </right>
      <top/>
      <bottom/>
      <diagonal/>
    </border>
    <border>
      <left/>
      <right/>
      <top/>
      <bottom style="thin">
        <color rgb="FF000000"/>
      </bottom>
      <diagonal/>
    </border>
    <border>
      <left/>
      <right style="thin">
        <color rgb="FF000000"/>
      </right>
      <top/>
      <bottom style="thin">
        <color rgb="FF000000"/>
      </bottom>
      <diagonal/>
    </border>
    <border>
      <left style="dotted">
        <color indexed="64"/>
      </left>
      <right style="dotted">
        <color indexed="64"/>
      </right>
      <top style="dotted">
        <color indexed="64"/>
      </top>
      <bottom style="dotted">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s>
  <cellStyleXfs count="2">
    <xf numFmtId="0" fontId="0" fillId="0" borderId="0"/>
    <xf numFmtId="0" fontId="5" fillId="0" borderId="0" applyNumberFormat="0" applyFill="0" applyBorder="0" applyAlignment="0" applyProtection="0"/>
  </cellStyleXfs>
  <cellXfs count="47">
    <xf numFmtId="0" fontId="0" fillId="0" borderId="0" xfId="0"/>
    <xf numFmtId="0" fontId="0" fillId="0" borderId="1" xfId="0" applyBorder="1" applyAlignment="1">
      <alignment vertical="top"/>
    </xf>
    <xf numFmtId="0" fontId="0" fillId="0" borderId="0" xfId="0" applyAlignment="1">
      <alignment vertical="top"/>
    </xf>
    <xf numFmtId="0" fontId="0" fillId="0" borderId="0" xfId="0" applyAlignment="1">
      <alignment horizontal="center" vertical="top"/>
    </xf>
    <xf numFmtId="0" fontId="1" fillId="2" borderId="0" xfId="0" applyFont="1" applyFill="1" applyAlignment="1">
      <alignment vertical="top" wrapText="1"/>
    </xf>
    <xf numFmtId="0" fontId="0" fillId="0" borderId="0" xfId="0" applyAlignment="1">
      <alignment horizontal="left" vertical="top"/>
    </xf>
    <xf numFmtId="0" fontId="0" fillId="0" borderId="0" xfId="0" applyAlignment="1">
      <alignment horizontal="left"/>
    </xf>
    <xf numFmtId="0" fontId="3" fillId="0" borderId="0" xfId="0" applyFont="1" applyAlignment="1">
      <alignment horizontal="left" vertical="center" wrapText="1"/>
    </xf>
    <xf numFmtId="0" fontId="3" fillId="3" borderId="0" xfId="0" applyFont="1" applyFill="1" applyAlignment="1">
      <alignment horizontal="left" vertical="center" wrapText="1"/>
    </xf>
    <xf numFmtId="0" fontId="4" fillId="0" borderId="0" xfId="0" applyFont="1" applyAlignment="1">
      <alignment horizontal="left" vertical="center" wrapText="1"/>
    </xf>
    <xf numFmtId="0" fontId="3" fillId="0" borderId="2" xfId="0" applyFont="1" applyBorder="1" applyAlignment="1">
      <alignment horizontal="left" vertical="center" wrapText="1"/>
    </xf>
    <xf numFmtId="0" fontId="3" fillId="0" borderId="3" xfId="0" applyFont="1" applyBorder="1" applyAlignment="1">
      <alignment horizontal="left" vertical="center" wrapText="1"/>
    </xf>
    <xf numFmtId="0" fontId="3" fillId="0" borderId="4" xfId="0" applyFont="1" applyBorder="1" applyAlignment="1">
      <alignment horizontal="left" vertical="center" wrapText="1"/>
    </xf>
    <xf numFmtId="0" fontId="4" fillId="0" borderId="4" xfId="0" applyFont="1" applyBorder="1" applyAlignment="1">
      <alignment horizontal="left" vertical="center" wrapText="1"/>
    </xf>
    <xf numFmtId="0" fontId="3" fillId="3" borderId="4" xfId="0" applyFont="1" applyFill="1" applyBorder="1" applyAlignment="1">
      <alignment horizontal="left" vertical="center" wrapText="1"/>
    </xf>
    <xf numFmtId="0" fontId="3" fillId="0" borderId="5" xfId="0" applyFont="1" applyBorder="1" applyAlignment="1">
      <alignment horizontal="left" vertical="center" wrapText="1"/>
    </xf>
    <xf numFmtId="0" fontId="3" fillId="0" borderId="6" xfId="0" applyFont="1" applyBorder="1" applyAlignment="1">
      <alignment horizontal="left" vertical="center" wrapText="1"/>
    </xf>
    <xf numFmtId="164" fontId="3" fillId="0" borderId="0" xfId="0" applyNumberFormat="1" applyFont="1" applyAlignment="1">
      <alignment horizontal="left" vertical="center" wrapText="1"/>
    </xf>
    <xf numFmtId="164" fontId="4" fillId="0" borderId="0" xfId="0" applyNumberFormat="1" applyFont="1" applyAlignment="1">
      <alignment horizontal="left" vertical="center" wrapText="1"/>
    </xf>
    <xf numFmtId="164" fontId="3" fillId="3" borderId="0" xfId="0" applyNumberFormat="1" applyFont="1" applyFill="1" applyAlignment="1">
      <alignment horizontal="left" vertical="center" wrapText="1"/>
    </xf>
    <xf numFmtId="164" fontId="3" fillId="0" borderId="5" xfId="0" applyNumberFormat="1" applyFont="1" applyBorder="1" applyAlignment="1">
      <alignment horizontal="left" vertical="center" wrapText="1"/>
    </xf>
    <xf numFmtId="0" fontId="0" fillId="0" borderId="0" xfId="0" applyAlignment="1">
      <alignment vertical="top" wrapText="1"/>
    </xf>
    <xf numFmtId="0" fontId="0" fillId="0" borderId="1" xfId="0" applyBorder="1" applyAlignment="1">
      <alignment vertical="top" wrapText="1"/>
    </xf>
    <xf numFmtId="0" fontId="0" fillId="0" borderId="0" xfId="0" applyAlignment="1">
      <alignment horizontal="center" vertical="top" wrapText="1"/>
    </xf>
    <xf numFmtId="0" fontId="0" fillId="5" borderId="7" xfId="0" applyFill="1" applyBorder="1" applyAlignment="1">
      <alignment vertical="top"/>
    </xf>
    <xf numFmtId="0" fontId="0" fillId="0" borderId="7" xfId="0" applyBorder="1" applyAlignment="1">
      <alignment vertical="top" wrapText="1"/>
    </xf>
    <xf numFmtId="0" fontId="0" fillId="0" borderId="7" xfId="0" applyBorder="1" applyAlignment="1">
      <alignment vertical="top"/>
    </xf>
    <xf numFmtId="0" fontId="0" fillId="0" borderId="7" xfId="0" applyBorder="1" applyAlignment="1">
      <alignment horizontal="center" vertical="top"/>
    </xf>
    <xf numFmtId="0" fontId="0" fillId="0" borderId="7" xfId="0" applyBorder="1" applyAlignment="1">
      <alignment horizontal="left" vertical="top"/>
    </xf>
    <xf numFmtId="0" fontId="0" fillId="5" borderId="7" xfId="0" applyFill="1" applyBorder="1" applyAlignment="1">
      <alignment vertical="top" wrapText="1"/>
    </xf>
    <xf numFmtId="0" fontId="0" fillId="5" borderId="7" xfId="0" applyFill="1" applyBorder="1" applyAlignment="1">
      <alignment horizontal="center" vertical="top"/>
    </xf>
    <xf numFmtId="0" fontId="0" fillId="4" borderId="7" xfId="0" applyFill="1" applyBorder="1" applyAlignment="1">
      <alignment vertical="top"/>
    </xf>
    <xf numFmtId="0" fontId="6" fillId="0" borderId="7" xfId="0" applyFont="1" applyBorder="1" applyAlignment="1">
      <alignment vertical="top" wrapText="1"/>
    </xf>
    <xf numFmtId="0" fontId="0" fillId="6" borderId="7" xfId="0" applyFill="1" applyBorder="1" applyAlignment="1">
      <alignment horizontal="center" vertical="top"/>
    </xf>
    <xf numFmtId="0" fontId="1" fillId="0" borderId="0" xfId="0" applyFont="1" applyAlignment="1">
      <alignment horizontal="center" vertical="center" wrapText="1"/>
    </xf>
    <xf numFmtId="0" fontId="1" fillId="7" borderId="7" xfId="0" applyFont="1" applyFill="1" applyBorder="1" applyAlignment="1">
      <alignment horizontal="left" vertical="center" wrapText="1"/>
    </xf>
    <xf numFmtId="0" fontId="1" fillId="7" borderId="7" xfId="0" applyFont="1" applyFill="1" applyBorder="1" applyAlignment="1">
      <alignment horizontal="center" vertical="center" wrapText="1"/>
    </xf>
    <xf numFmtId="0" fontId="0" fillId="0" borderId="7" xfId="0" applyBorder="1" applyAlignment="1" applyProtection="1">
      <alignment vertical="top" wrapText="1"/>
      <protection locked="0"/>
    </xf>
    <xf numFmtId="0" fontId="5" fillId="0" borderId="7" xfId="1" applyBorder="1" applyAlignment="1" applyProtection="1">
      <alignment horizontal="left" vertical="top" wrapText="1"/>
      <protection locked="0"/>
    </xf>
    <xf numFmtId="0" fontId="6" fillId="0" borderId="7" xfId="1" applyFont="1" applyBorder="1" applyAlignment="1" applyProtection="1">
      <alignment horizontal="left" vertical="top" wrapText="1"/>
      <protection locked="0"/>
    </xf>
    <xf numFmtId="0" fontId="0" fillId="0" borderId="0" xfId="0" applyAlignment="1" applyProtection="1">
      <alignment vertical="top" wrapText="1"/>
      <protection locked="0"/>
    </xf>
    <xf numFmtId="0" fontId="5" fillId="0" borderId="7" xfId="1" applyBorder="1" applyAlignment="1" applyProtection="1">
      <alignment vertical="top" wrapText="1"/>
      <protection locked="0"/>
    </xf>
    <xf numFmtId="0" fontId="0" fillId="5" borderId="7" xfId="0" applyFill="1" applyBorder="1" applyAlignment="1" applyProtection="1">
      <alignment vertical="top" wrapText="1"/>
      <protection locked="0"/>
    </xf>
    <xf numFmtId="0" fontId="0" fillId="0" borderId="7" xfId="0" applyBorder="1" applyAlignment="1" applyProtection="1">
      <alignment horizontal="center" vertical="top" wrapText="1"/>
      <protection locked="0"/>
    </xf>
    <xf numFmtId="0" fontId="6" fillId="0" borderId="7" xfId="0" applyFont="1" applyBorder="1" applyAlignment="1" applyProtection="1">
      <alignment horizontal="center" vertical="top" wrapText="1"/>
      <protection locked="0"/>
    </xf>
    <xf numFmtId="0" fontId="2" fillId="0" borderId="8" xfId="0" applyFont="1" applyBorder="1" applyAlignment="1">
      <alignment horizontal="center" vertical="top" wrapText="1"/>
    </xf>
    <xf numFmtId="9" fontId="0" fillId="0" borderId="9" xfId="0" applyNumberFormat="1" applyBorder="1" applyAlignment="1">
      <alignment horizontal="center" vertical="top"/>
    </xf>
  </cellXfs>
  <cellStyles count="2">
    <cellStyle name="Hyperlink" xfId="1" builtinId="8"/>
    <cellStyle name="Normal" xfId="0" builtinId="0"/>
  </cellStyles>
  <dxfs count="4">
    <dxf>
      <font>
        <strike val="0"/>
      </font>
      <fill>
        <patternFill>
          <bgColor rgb="FFFFB9B9"/>
        </patternFill>
      </fill>
    </dxf>
    <dxf>
      <fill>
        <patternFill>
          <bgColor theme="9" tint="0.79998168889431442"/>
        </patternFill>
      </fill>
    </dxf>
    <dxf>
      <font>
        <strike val="0"/>
      </font>
      <fill>
        <patternFill>
          <bgColor rgb="FFFFB9B9"/>
        </patternFill>
      </fill>
    </dxf>
    <dxf>
      <fill>
        <patternFill>
          <bgColor theme="9" tint="0.79998168889431442"/>
        </patternFill>
      </fill>
    </dxf>
  </dxfs>
  <tableStyles count="0" defaultTableStyle="TableStyleMedium2" defaultPivotStyle="PivotStyleLight16"/>
  <colors>
    <mruColors>
      <color rgb="FFFFB9B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microsoft.com/office/2017/10/relationships/person" Target="persons/person.xml"/><Relationship Id="rId12" Type="http://schemas.openxmlformats.org/officeDocument/2006/relationships/customXml" Target="../customXml/item4.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11" Type="http://schemas.openxmlformats.org/officeDocument/2006/relationships/customXml" Target="../customXml/item3.xml"/><Relationship Id="rId5" Type="http://schemas.openxmlformats.org/officeDocument/2006/relationships/styles" Target="styles.xml"/><Relationship Id="rId10" Type="http://schemas.openxmlformats.org/officeDocument/2006/relationships/customXml" Target="../customXml/item2.xml"/><Relationship Id="rId4" Type="http://schemas.openxmlformats.org/officeDocument/2006/relationships/theme" Target="theme/theme1.xml"/><Relationship Id="rId9" Type="http://schemas.openxmlformats.org/officeDocument/2006/relationships/customXml" Target="../customXml/item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50</xdr:row>
      <xdr:rowOff>0</xdr:rowOff>
    </xdr:from>
    <xdr:to>
      <xdr:col>6</xdr:col>
      <xdr:colOff>478155</xdr:colOff>
      <xdr:row>85</xdr:row>
      <xdr:rowOff>9525</xdr:rowOff>
    </xdr:to>
    <xdr:pic>
      <xdr:nvPicPr>
        <xdr:cNvPr id="2" name="Picture 1" descr="image">
          <a:extLst>
            <a:ext uri="{FF2B5EF4-FFF2-40B4-BE49-F238E27FC236}">
              <a16:creationId xmlns:a16="http://schemas.microsoft.com/office/drawing/2014/main" id="{4F561AC0-29AC-89AA-9D5E-EB471314A60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10210800"/>
          <a:ext cx="13687425" cy="7010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persons/person.xml><?xml version="1.0" encoding="utf-8"?>
<personList xmlns="http://schemas.microsoft.com/office/spreadsheetml/2018/threadedcomments" xmlns:x="http://schemas.openxmlformats.org/spreadsheetml/2006/main">
  <person displayName="Everest, Neil" id="{84C78631-C105-4873-A847-7AD1ADF61028}" userId="S::Neil.Everest@aegon.com::7abe4f5f-2529-4917-872c-a7c627cd255c" providerId="AD"/>
  <person displayName="Apel, Nick" id="{3051E8EB-29AE-4F41-ABAE-AA0888BA795E}" userId="S::nick.apel@transamerica.com::95543644-cc92-4525-acaa-1ad4c350a52e" providerId="AD"/>
  <person displayName="Reynolds, Stephanie" id="{8A465F86-6664-416B-ADE0-53C2FE11364C}" userId="S::stephanie.reynolds@transamerica.com::1f88be43-2847-49d0-80bb-1c7c6421f5eb" providerId="AD"/>
</personList>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C2" dT="2024-03-26T16:01:00.98" personId="{84C78631-C105-4873-A847-7AD1ADF61028}" id="{90028B18-44D2-4204-9ED5-622CF192F4E6}">
    <text>General Question to add. 
Are the documents in the standard templates and diagrams following ArchiMate?</text>
  </threadedComment>
  <threadedComment ref="C3" dT="2024-04-04T21:04:05.12" personId="{8A465F86-6664-416B-ADE0-53C2FE11364C}" id="{B091C3EB-AF85-4474-A086-F2DAA061EE74}">
    <text>Please correct spelling of architecture in C3</text>
  </threadedComment>
  <threadedComment ref="C4" dT="2024-03-26T16:01:37.93" personId="{84C78631-C105-4873-A847-7AD1ADF61028}" id="{B56E5914-80E7-4D57-88F3-B3E3CE558F2C}">
    <text>It would be good to include Data, Security etc in here</text>
  </threadedComment>
  <threadedComment ref="C6" dT="2024-03-26T15:59:29.87" personId="{84C78631-C105-4873-A847-7AD1ADF61028}" id="{B25493C8-B4A8-41FF-9015-16E02E6C3D93}" done="1">
    <text xml:space="preserve">For Data sovereignty reasons? Suggest we make it explicit and outline that the Architect should consider it as part of his design. </text>
  </threadedComment>
  <threadedComment ref="C6" dT="2024-03-26T16:30:54.43" personId="{3051E8EB-29AE-4F41-ABAE-AA0888BA795E}" id="{370CCB08-B500-4256-B8B9-43817646173E}" parentId="{B25493C8-B4A8-41FF-9015-16E02E6C3D93}">
    <text>This questions assesses the solution to ensure the solution utilizes approved regions - if it does not, an exception needs to be documented and approved.</text>
  </threadedComment>
  <threadedComment ref="C7" dT="2024-03-26T15:52:28.90" personId="{84C78631-C105-4873-A847-7AD1ADF61028}" id="{FBBEE1B1-680C-4B57-8467-51C864BEF5A8}" done="1">
    <text xml:space="preserve">Is this really a Task for an Architect. Usually this would be done by the Engineer or a PM. 
</text>
  </threadedComment>
  <threadedComment ref="C7" dT="2024-03-26T16:27:18.15" personId="{3051E8EB-29AE-4F41-ABAE-AA0888BA795E}" id="{CD3B320F-C1C0-4FBE-A5AA-24DE52BD77BC}" parentId="{FBBEE1B1-680C-4B57-8467-51C864BEF5A8}">
    <text xml:space="preserve">The question validates that new technology components being introduced to the IT landscape by the solution have been onboarded into CMDB. It's not an architecture responsibility to complete the CMDB onboarding, but it is an architecture responsibility to verify the components have been onboarded into CMDB prior to final ARB. </text>
  </threadedComment>
  <threadedComment ref="C8" dT="2024-03-26T15:58:08.67" personId="{84C78631-C105-4873-A847-7AD1ADF61028}" id="{C6D1A7DA-43A8-4353-BF6E-A4144D61781E}" done="1">
    <text xml:space="preserve">Rows 8- 12 seem to be matching to standard GTS requirements.  
Would it not be better for the Architect to list all requirements and demonstrate where in the solution the requirement is met. This should considered during the peer review.  </text>
  </threadedComment>
  <threadedComment ref="C8" dT="2024-03-26T16:21:46.62" personId="{3051E8EB-29AE-4F41-ABAE-AA0888BA795E}" id="{5142F18C-FD4F-41F4-89A6-3B4F2EAE186B}" parentId="{C6D1A7DA-43A8-4353-BF6E-A4144D61781E}">
    <text xml:space="preserve">The solution design document and ARB presentation templates are being refined to account for these items.  Questions 8 - 12 assess the design to ensure that the items are accounted for within the solution design or that the items are intentionally not in scope.  When standard patterns are defined to account for these items, then the questions will change to assess alignment to standard patterns or document that the item is not in scope for the solution. </text>
  </threadedComment>
  <threadedComment ref="G10" dT="2024-03-26T15:49:19.54" personId="{84C78631-C105-4873-A847-7AD1ADF61028}" id="{17CBB31F-8E20-4430-B312-9B96A327FDAF}">
    <text>Will these be updated to reflect the move to Platinum, Gold, Silver &amp; Bronze. Is that still happening?</text>
  </threadedComment>
  <threadedComment ref="C17" dT="2024-03-26T16:03:52.67" personId="{84C78631-C105-4873-A847-7AD1ADF61028}" id="{9B4BC5E9-DD48-4617-8D90-716F12A61DEF}">
    <text>This is more a Engineering \ PM question rather than a Architecture question. 
Are Architects involved with handover to operations?</text>
  </threadedComment>
  <threadedComment ref="C18" dT="2024-03-26T15:44:07.63" personId="{84C78631-C105-4873-A847-7AD1ADF61028}" id="{CE337727-2D35-464D-BAFC-91EFDFDD9147}">
    <text xml:space="preserve">My view this should be in the design ARB as well. </text>
  </threadedComment>
  <threadedComment ref="C18" dT="2024-03-26T22:02:38.64" personId="{3051E8EB-29AE-4F41-ABAE-AA0888BA795E}" id="{2A718A04-83DD-BD4A-8A6A-02EEE76378F4}" parentId="{CE337727-2D35-464D-BAFC-91EFDFDD9147}">
    <text>I agree that this is a longer term objective - to have patterns defined and approved in repository to use for solution design.  However, we are not yet at an architecture maturity level for this to be the case.  After we establish the repository and have it hydrated with standards, then we can evaluate changing the scope of this question to be not just tied to the Final ARB, but to the Design ARB as well.</text>
  </threadedComment>
  <threadedComment ref="C20" dT="2024-03-26T15:46:51.44" personId="{84C78631-C105-4873-A847-7AD1ADF61028}" id="{B6E96020-7805-4054-B7B4-07F64C783A43}" done="1">
    <text>Is this required for the design ARB. Seems a lot of detail that the Architect would not necessarily have to hand</text>
  </threadedComment>
  <threadedComment ref="C20" dT="2024-03-26T16:05:03.96" personId="{3051E8EB-29AE-4F41-ABAE-AA0888BA795E}" id="{005E9938-DC5B-475F-8585-915C32D6128E}" parentId="{B6E96020-7805-4054-B7B4-07F64C783A43}">
    <text>Yes, this is required for design ARB. Architecture needs to understand the technology components that are impacted by a solution design and type of  impact (i.e., enhance, decommission, addition).  Architecture solution design document and ARB presentation templates are being updated to include the Impacted Technology Components table.</text>
  </threadedComment>
  <threadedComment ref="C22" dT="2024-03-26T15:37:19.47" personId="{84C78631-C105-4873-A847-7AD1ADF61028}" id="{A6A348B5-7BF7-4DEB-8D97-7E18CC834A0B}" done="1">
    <text>Would the question be better as ' Does the solution use the standard secrets management service?</text>
  </threadedComment>
  <threadedComment ref="C22" dT="2024-03-26T15:55:58.85" personId="{3051E8EB-29AE-4F41-ABAE-AA0888BA795E}" id="{FD8F37B1-2873-4D7F-98A7-EC53F271E895}" parentId="{A6A348B5-7BF7-4DEB-8D97-7E18CC834A0B}">
    <text>Where we have established standards, answers options will ask for the standard to be selected as the answer.  Over time, as additional standards are defined, questions will be changed from yes / no to instead list the standards as options for answers.</text>
  </threadedComment>
  <threadedComment ref="C25" dT="2024-03-26T15:35:21.44" personId="{84C78631-C105-4873-A847-7AD1ADF61028}" id="{7AE98B2D-F06B-4D3B-B926-9149FF09130F}">
    <text>Why is the wording approval? My understanding is that the prearb is not Approval but rather sponsor</text>
  </threadedComment>
  <threadedComment ref="C28" dT="2024-03-26T15:34:30.69" personId="{84C78631-C105-4873-A847-7AD1ADF61028}" id="{46BEA9A0-5AEF-4E8E-89B3-B481A4264AED}" done="1">
    <text xml:space="preserve">Why only final ARB. Does QA and Security review and sponsor at all stages. </text>
  </threadedComment>
  <threadedComment ref="C28" dT="2024-03-26T15:38:13.72" personId="{3051E8EB-29AE-4F41-ABAE-AA0888BA795E}" id="{6AFFEFD2-58A0-4709-A807-FEFC531DB912}" parentId="{46BEA9A0-5AEF-4E8E-89B3-B481A4264AED}">
    <text>This question is a part of the scorecard to confirm that there are no additional changes that would require a re-validation of the architecture prior to ARB sign off of the Final ARB.</text>
  </threadedComment>
  <threadedComment ref="C30" dT="2024-03-26T15:32:21.65" personId="{84C78631-C105-4873-A847-7AD1ADF61028}" id="{C973E0FA-C726-4CE4-852F-BAECF2044235}" done="1">
    <text>There should be weighting to the questions (or some of them). This one for example should have a bigger impact</text>
  </threadedComment>
</ThreadedComments>
</file>

<file path=xl/worksheets/_rels/sheet1.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hyperlink" Target="https://aegon.service-now.com/nav_to.do?uri=%2Fcmdb_ci_business_app_list.do%3Fsysparm_query%3Doperational_status!%3D7%26sysparm_first_row%3D1%26sysparm_view%3Dbusiness_applications" TargetMode="External"/><Relationship Id="rId7" Type="http://schemas.openxmlformats.org/officeDocument/2006/relationships/vmlDrawing" Target="../drawings/vmlDrawing1.vml"/><Relationship Id="rId2" Type="http://schemas.openxmlformats.org/officeDocument/2006/relationships/hyperlink" Target="https://aegonna.sharepoint.com/:x:/r/sites/ASKAegonServiceKnowledge/_layouts/15/Doc.aspx?sourcedoc=%7B3B28A57E-5F90-458B-AC02-A4D333BFAE57%7D&amp;file=Schedule%202%20Global%20SLAs%20-%20maintenance%20windows%20-%20priority%20matrix.xlsx&amp;action=default&amp;mobileredirect=true" TargetMode="External"/><Relationship Id="rId1" Type="http://schemas.openxmlformats.org/officeDocument/2006/relationships/hyperlink" Target="https://aegonna.sharepoint.com/sites/GEA/SitePages/Architecture-Principles.aspx" TargetMode="External"/><Relationship Id="rId6" Type="http://schemas.openxmlformats.org/officeDocument/2006/relationships/printerSettings" Target="../printerSettings/printerSettings1.bin"/><Relationship Id="rId5" Type="http://schemas.openxmlformats.org/officeDocument/2006/relationships/hyperlink" Target="https://aegonna.sharepoint.com/sites/GEA/SitePages/Architecture-Exceptions.aspx" TargetMode="External"/><Relationship Id="rId4" Type="http://schemas.openxmlformats.org/officeDocument/2006/relationships/hyperlink" Target="../../../../../TA-GTSTechnicalRiskAssessmentTool/RiskReviews/SitePages/Home.aspx" TargetMode="External"/><Relationship Id="rId9" Type="http://schemas.microsoft.com/office/2017/10/relationships/threadedComment" Target="../threadedComments/threadedComment1.xml"/></Relationships>
</file>

<file path=xl/worksheets/_rels/sheet2.xml.rels><?xml version="1.0" encoding="UTF-8" standalone="yes"?>
<Relationships xmlns="http://schemas.openxmlformats.org/package/2006/relationships"><Relationship Id="rId3" Type="http://schemas.openxmlformats.org/officeDocument/2006/relationships/hyperlink" Target="https://aegon.service-now.com/nav_to.do?uri=%2Fcmdb_ci_business_app_list.do%3Fsysparm_query%3Doperational_status!%3D7%26sysparm_first_row%3D1%26sysparm_view%3Dbusiness_applications" TargetMode="External"/><Relationship Id="rId2" Type="http://schemas.openxmlformats.org/officeDocument/2006/relationships/hyperlink" Target="https://aegonna.sharepoint.com/:x:/r/sites/ASKAegonServiceKnowledge/_layouts/15/Doc.aspx?sourcedoc=%7B3B28A57E-5F90-458B-AC02-A4D333BFAE57%7D&amp;file=Schedule%202%20Global%20SLAs%20-%20maintenance%20windows%20-%20priority%20matrix.xlsx&amp;action=default&amp;mobileredirect=true" TargetMode="External"/><Relationship Id="rId1" Type="http://schemas.openxmlformats.org/officeDocument/2006/relationships/hyperlink" Target="https://aegonna.sharepoint.com/sites/GEA/SitePages/Architecture-Principles.aspx" TargetMode="External"/><Relationship Id="rId4" Type="http://schemas.openxmlformats.org/officeDocument/2006/relationships/hyperlink" Target="../../../../../TA-GTSTechnicalRiskAssessmentTool/RiskReviews/SitePages/Home.aspx" TargetMode="Externa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771372-FE51-48F9-94DB-6F11ED67CE39}">
  <dimension ref="A1:G30"/>
  <sheetViews>
    <sheetView tabSelected="1" zoomScale="80" zoomScaleNormal="80" workbookViewId="0">
      <pane ySplit="2" topLeftCell="A26" activePane="bottomLeft" state="frozen"/>
      <selection pane="bottomLeft" activeCell="E32" sqref="E32"/>
    </sheetView>
  </sheetViews>
  <sheetFormatPr defaultColWidth="10.75" defaultRowHeight="15.75" x14ac:dyDescent="0.25"/>
  <cols>
    <col min="1" max="1" width="22.75" style="2" customWidth="1"/>
    <col min="2" max="2" width="31.75" style="2" hidden="1" customWidth="1"/>
    <col min="3" max="3" width="54" style="21" customWidth="1"/>
    <col min="4" max="4" width="32.75" style="23" customWidth="1"/>
    <col min="5" max="5" width="23.25" style="3" customWidth="1"/>
    <col min="6" max="6" width="35" style="5" customWidth="1"/>
    <col min="7" max="7" width="56.25" style="21" customWidth="1"/>
    <col min="8" max="16384" width="10.75" style="2"/>
  </cols>
  <sheetData>
    <row r="1" spans="1:7" ht="32.65" customHeight="1" thickBot="1" x14ac:dyDescent="0.3">
      <c r="D1" s="45" t="s">
        <v>0</v>
      </c>
      <c r="E1" s="46">
        <f>SUM(E4:E30)/27</f>
        <v>0.88888888888888884</v>
      </c>
    </row>
    <row r="2" spans="1:7" s="34" customFormat="1" ht="57" customHeight="1" x14ac:dyDescent="0.25">
      <c r="A2" s="35" t="s">
        <v>1</v>
      </c>
      <c r="B2" s="36" t="s">
        <v>2</v>
      </c>
      <c r="C2" s="36" t="s">
        <v>3</v>
      </c>
      <c r="D2" s="36" t="s">
        <v>4</v>
      </c>
      <c r="E2" s="36" t="s">
        <v>5</v>
      </c>
      <c r="F2" s="35" t="s">
        <v>6</v>
      </c>
      <c r="G2" s="36" t="s">
        <v>7</v>
      </c>
    </row>
    <row r="3" spans="1:7" ht="31.5" x14ac:dyDescent="0.25">
      <c r="A3" s="24" t="s">
        <v>8</v>
      </c>
      <c r="B3" s="24"/>
      <c r="C3" s="25" t="s">
        <v>9</v>
      </c>
      <c r="D3" s="43" t="s">
        <v>197</v>
      </c>
      <c r="E3" s="33" t="s">
        <v>10</v>
      </c>
      <c r="F3" s="28"/>
      <c r="G3" s="41" t="s">
        <v>11</v>
      </c>
    </row>
    <row r="4" spans="1:7" ht="31.5" x14ac:dyDescent="0.25">
      <c r="A4" s="24" t="s">
        <v>8</v>
      </c>
      <c r="B4" s="26"/>
      <c r="C4" s="25" t="s">
        <v>12</v>
      </c>
      <c r="D4" s="43" t="s">
        <v>67</v>
      </c>
      <c r="E4" s="27">
        <f>IF(D4 = "Yes",1,IF(D4 = "N/A",1,0))</f>
        <v>0</v>
      </c>
      <c r="F4" s="28"/>
      <c r="G4" s="37"/>
    </row>
    <row r="5" spans="1:7" ht="31.5" x14ac:dyDescent="0.25">
      <c r="A5" s="24" t="s">
        <v>8</v>
      </c>
      <c r="B5" s="26"/>
      <c r="C5" s="29" t="s">
        <v>13</v>
      </c>
      <c r="D5" s="43" t="s">
        <v>144</v>
      </c>
      <c r="E5" s="27">
        <f>IF(D5="AWS",1,IF(D5="Physical DataCenter",1,IF(D5="Azure",1,IF(D5="SaaS",1,IF(D5="PaaS",1,IF(D5="N/A",1,IF(D5="Multiple Approved",1,0)))))))</f>
        <v>1</v>
      </c>
      <c r="F5" s="28"/>
      <c r="G5" s="37"/>
    </row>
    <row r="6" spans="1:7" x14ac:dyDescent="0.25">
      <c r="A6" s="24" t="s">
        <v>8</v>
      </c>
      <c r="B6" s="26"/>
      <c r="C6" s="25" t="s">
        <v>14</v>
      </c>
      <c r="D6" s="43" t="s">
        <v>159</v>
      </c>
      <c r="E6" s="27">
        <f>IF(D6="US - ADC - Cedar Rapids",1,IF(D6="EU - EDC - Edinburgh",1,IF(D6="AWS - Ohio",1,IF(D6="AWS - Ireland",1,IF(D6="AWS - N. Virginia",1,IF(D6="Azure - Multiple Approved",1,IF(D6="AWS - Multiple Approved",1,IF(D6="Azure - Northern Europe",1,IF(D6="Azure - East US",1,IF(D6="Azure - East US",1,IF(D6="EU - EDC",1,IF(D6="Both ADC and EDC",1,IF(D6="US - ADC",1,IF(D6="N/A",1,0))))))))))))))</f>
        <v>1</v>
      </c>
      <c r="F6" s="28"/>
      <c r="G6" s="37"/>
    </row>
    <row r="7" spans="1:7" ht="31.5" x14ac:dyDescent="0.25">
      <c r="A7" s="24" t="s">
        <v>8</v>
      </c>
      <c r="B7" s="26"/>
      <c r="C7" s="25" t="s">
        <v>15</v>
      </c>
      <c r="D7" s="43" t="s">
        <v>62</v>
      </c>
      <c r="E7" s="27">
        <f>IF(D7 = "Yes",1,IF(D7 = "Not a Final ARB",1,0))</f>
        <v>1</v>
      </c>
      <c r="F7" s="28"/>
      <c r="G7" s="41" t="s">
        <v>16</v>
      </c>
    </row>
    <row r="8" spans="1:7" ht="31.5" x14ac:dyDescent="0.25">
      <c r="A8" s="26" t="s">
        <v>8</v>
      </c>
      <c r="B8" s="26"/>
      <c r="C8" s="25" t="s">
        <v>17</v>
      </c>
      <c r="D8" s="43" t="s">
        <v>62</v>
      </c>
      <c r="E8" s="30">
        <f>IF(D8="Yes",1,IF(D8="N/A",1,0))</f>
        <v>1</v>
      </c>
      <c r="F8" s="28"/>
      <c r="G8" s="37"/>
    </row>
    <row r="9" spans="1:7" ht="47.25" x14ac:dyDescent="0.25">
      <c r="A9" s="24" t="s">
        <v>8</v>
      </c>
      <c r="B9" s="31"/>
      <c r="C9" s="29" t="s">
        <v>18</v>
      </c>
      <c r="D9" s="43" t="s">
        <v>62</v>
      </c>
      <c r="E9" s="30">
        <f>IF(D9="Yes",1,IF(D9="N/A",1,0))</f>
        <v>1</v>
      </c>
      <c r="F9" s="28"/>
      <c r="G9" s="37"/>
    </row>
    <row r="10" spans="1:7" x14ac:dyDescent="0.25">
      <c r="A10" s="24" t="s">
        <v>8</v>
      </c>
      <c r="B10" s="26"/>
      <c r="C10" s="25" t="s">
        <v>19</v>
      </c>
      <c r="D10" s="43" t="s">
        <v>140</v>
      </c>
      <c r="E10" s="27">
        <f>IF(D10="100% Availability (Platinum)",1,IF(D10="99.9% Availability (Gold)",1,IF(D10="99% Availability (Silver)",1,IF(D10="97% Availability (Bronze)",1,IF(D10="Availability is not a requirement",1,0)))))</f>
        <v>0</v>
      </c>
      <c r="F10" s="28"/>
      <c r="G10" s="41" t="s">
        <v>20</v>
      </c>
    </row>
    <row r="11" spans="1:7" ht="31.5" x14ac:dyDescent="0.25">
      <c r="A11" s="24" t="s">
        <v>8</v>
      </c>
      <c r="B11" s="26"/>
      <c r="C11" s="29" t="s">
        <v>21</v>
      </c>
      <c r="D11" s="43" t="s">
        <v>62</v>
      </c>
      <c r="E11" s="30">
        <f>IF(D11="Yes",1,IF(D11="N/A",1,0))</f>
        <v>1</v>
      </c>
      <c r="F11" s="28"/>
      <c r="G11" s="37"/>
    </row>
    <row r="12" spans="1:7" ht="31.5" x14ac:dyDescent="0.25">
      <c r="A12" s="24" t="s">
        <v>8</v>
      </c>
      <c r="B12" s="26"/>
      <c r="C12" s="25" t="s">
        <v>22</v>
      </c>
      <c r="D12" s="43" t="s">
        <v>62</v>
      </c>
      <c r="E12" s="30">
        <f>IF(D12="Yes",1,IF(D12="N/A",1,0))</f>
        <v>1</v>
      </c>
      <c r="F12" s="28"/>
      <c r="G12" s="37"/>
    </row>
    <row r="13" spans="1:7" ht="31.5" x14ac:dyDescent="0.25">
      <c r="A13" s="24" t="s">
        <v>8</v>
      </c>
      <c r="B13" s="26"/>
      <c r="C13" s="25" t="s">
        <v>23</v>
      </c>
      <c r="D13" s="43" t="s">
        <v>62</v>
      </c>
      <c r="E13" s="30">
        <f>IF(D13="Yes",1,IF(D13="N/A",1,0))</f>
        <v>1</v>
      </c>
      <c r="F13" s="28"/>
      <c r="G13" s="37"/>
    </row>
    <row r="14" spans="1:7" ht="31.5" x14ac:dyDescent="0.25">
      <c r="A14" s="24" t="s">
        <v>8</v>
      </c>
      <c r="B14" s="31"/>
      <c r="C14" s="25" t="s">
        <v>24</v>
      </c>
      <c r="D14" s="44" t="s">
        <v>62</v>
      </c>
      <c r="E14" s="27">
        <f>IF(D14="Yes",1,IF(D14="N/A",1,IF(D14="Partial",0.5,0)))</f>
        <v>1</v>
      </c>
      <c r="G14" s="38" t="s">
        <v>25</v>
      </c>
    </row>
    <row r="15" spans="1:7" ht="110.25" x14ac:dyDescent="0.25">
      <c r="A15" s="26" t="s">
        <v>8</v>
      </c>
      <c r="B15" s="26"/>
      <c r="C15" s="25" t="s">
        <v>26</v>
      </c>
      <c r="D15" s="43" t="s">
        <v>62</v>
      </c>
      <c r="E15" s="30">
        <f>IF(D15="Yes",1,IF(D15="N/A",1,0))</f>
        <v>1</v>
      </c>
      <c r="F15" s="28"/>
      <c r="G15" s="39" t="s">
        <v>27</v>
      </c>
    </row>
    <row r="16" spans="1:7" ht="110.25" x14ac:dyDescent="0.25">
      <c r="A16" s="26" t="s">
        <v>8</v>
      </c>
      <c r="B16" s="26"/>
      <c r="C16" s="25" t="s">
        <v>28</v>
      </c>
      <c r="D16" s="43" t="s">
        <v>10</v>
      </c>
      <c r="E16" s="30">
        <f>IF(D16="Yes",1,IF(D16="N/A",1,0))</f>
        <v>1</v>
      </c>
      <c r="F16" s="28"/>
      <c r="G16" s="39" t="s">
        <v>27</v>
      </c>
    </row>
    <row r="17" spans="1:7" ht="31.5" x14ac:dyDescent="0.25">
      <c r="A17" s="26" t="s">
        <v>8</v>
      </c>
      <c r="B17" s="26" t="s">
        <v>29</v>
      </c>
      <c r="C17" s="25" t="s">
        <v>30</v>
      </c>
      <c r="D17" s="43" t="s">
        <v>249</v>
      </c>
      <c r="E17" s="27">
        <f>IF(D17="Yes",1,IF(D17="Not Final ARB",1,IF(D17="Solution doesn't use machine / container images",1,0)))</f>
        <v>1</v>
      </c>
      <c r="F17" s="28"/>
      <c r="G17" s="37" t="s">
        <v>31</v>
      </c>
    </row>
    <row r="18" spans="1:7" ht="110.25" x14ac:dyDescent="0.25">
      <c r="A18" s="26" t="s">
        <v>8</v>
      </c>
      <c r="B18" s="26" t="s">
        <v>32</v>
      </c>
      <c r="C18" s="25" t="s">
        <v>33</v>
      </c>
      <c r="D18" s="43" t="s">
        <v>62</v>
      </c>
      <c r="E18" s="27">
        <f>IF(D18 = "Yes",1,IF(D18 = "Not Final ARB",1,0))</f>
        <v>1</v>
      </c>
      <c r="G18" s="39" t="s">
        <v>27</v>
      </c>
    </row>
    <row r="19" spans="1:7" x14ac:dyDescent="0.25">
      <c r="A19" s="26" t="s">
        <v>8</v>
      </c>
      <c r="B19" s="26" t="s">
        <v>32</v>
      </c>
      <c r="C19" s="25" t="s">
        <v>34</v>
      </c>
      <c r="D19" s="43" t="s">
        <v>10</v>
      </c>
      <c r="E19" s="27">
        <f>IF(D19="Yes",1,IF(D19="N/A",1,0))</f>
        <v>1</v>
      </c>
      <c r="F19" s="28"/>
      <c r="G19" s="37"/>
    </row>
    <row r="20" spans="1:7" ht="47.25" x14ac:dyDescent="0.25">
      <c r="A20" s="26" t="s">
        <v>8</v>
      </c>
      <c r="B20" s="26"/>
      <c r="C20" s="25" t="s">
        <v>35</v>
      </c>
      <c r="D20" s="43" t="s">
        <v>94</v>
      </c>
      <c r="E20" s="27">
        <f>IF(D20="Yes",1,IF(D20="Not Applicable For This Type of ARB",1,0))</f>
        <v>1</v>
      </c>
      <c r="F20" s="28"/>
      <c r="G20" s="37"/>
    </row>
    <row r="21" spans="1:7" ht="31.5" x14ac:dyDescent="0.25">
      <c r="A21" s="26" t="s">
        <v>8</v>
      </c>
      <c r="B21" s="26"/>
      <c r="C21" s="25" t="s">
        <v>36</v>
      </c>
      <c r="D21" s="43" t="s">
        <v>229</v>
      </c>
      <c r="E21" s="27">
        <f>IF(D21="Ping",1,IF(D21="PingOne",1,IF(D21="ISAM",1,IF(D21="TACACS+",1,IF(D21="OKTA",1,IF(D21="Identity is not a part of the solution",1,0))))))</f>
        <v>1</v>
      </c>
      <c r="F21" s="28"/>
      <c r="G21" s="37"/>
    </row>
    <row r="22" spans="1:7" ht="31.5" x14ac:dyDescent="0.25">
      <c r="A22" s="26" t="s">
        <v>8</v>
      </c>
      <c r="B22" s="26"/>
      <c r="C22" s="25" t="s">
        <v>37</v>
      </c>
      <c r="D22" s="43" t="s">
        <v>195</v>
      </c>
      <c r="E22" s="27">
        <f>IF(D22 = "CyberArk Conjur",1,IF(D22 = "AWS Secrets Manager",1,IF(D22 = "Secrets management is not a requirement",1,0)))</f>
        <v>1</v>
      </c>
      <c r="F22" s="28"/>
      <c r="G22" s="37"/>
    </row>
    <row r="23" spans="1:7" ht="31.5" x14ac:dyDescent="0.25">
      <c r="A23" s="26" t="s">
        <v>38</v>
      </c>
      <c r="B23" s="26"/>
      <c r="C23" s="25" t="s">
        <v>39</v>
      </c>
      <c r="D23" s="43" t="s">
        <v>248</v>
      </c>
      <c r="E23" s="27">
        <f>IF(D23="Yes - TRA Is Required and Complete",1,IF(D23="No - TRA Is Not Required",1,0))</f>
        <v>1</v>
      </c>
      <c r="F23" s="28"/>
      <c r="G23" s="41" t="s">
        <v>40</v>
      </c>
    </row>
    <row r="24" spans="1:7" ht="31.5" x14ac:dyDescent="0.25">
      <c r="A24" s="26" t="s">
        <v>38</v>
      </c>
      <c r="B24" s="26"/>
      <c r="C24" s="32" t="s">
        <v>41</v>
      </c>
      <c r="D24" s="43" t="s">
        <v>93</v>
      </c>
      <c r="E24" s="27">
        <f>IF(D24="Yes",1,IF(D24="Yes - With Exception",0.5,IF(D24="Not Final ARB",1,0)))</f>
        <v>1</v>
      </c>
      <c r="F24" s="28"/>
      <c r="G24" s="37" t="s">
        <v>42</v>
      </c>
    </row>
    <row r="25" spans="1:7" ht="31.5" x14ac:dyDescent="0.25">
      <c r="A25" s="26" t="s">
        <v>43</v>
      </c>
      <c r="B25" s="26" t="s">
        <v>44</v>
      </c>
      <c r="C25" s="32" t="s">
        <v>45</v>
      </c>
      <c r="D25" s="43" t="s">
        <v>93</v>
      </c>
      <c r="E25" s="27">
        <f>IF(D25="Yes",1,IF(D25="Yes - With Exception",0.5,IF(D25="Not Final ARB",1,0)))</f>
        <v>1</v>
      </c>
      <c r="F25" s="28"/>
      <c r="G25" s="37" t="s">
        <v>46</v>
      </c>
    </row>
    <row r="26" spans="1:7" ht="362.25" x14ac:dyDescent="0.25">
      <c r="A26" s="24" t="s">
        <v>43</v>
      </c>
      <c r="B26" s="31"/>
      <c r="C26" s="29" t="s">
        <v>47</v>
      </c>
      <c r="D26" s="43" t="s">
        <v>62</v>
      </c>
      <c r="E26" s="27">
        <f>IF(D26="Yes",1,IF(D26="Solution Does Not Requre a Data Privacy Impact Assessment",1,0))</f>
        <v>1</v>
      </c>
      <c r="F26" s="28"/>
      <c r="G26" s="42" t="s">
        <v>48</v>
      </c>
    </row>
    <row r="27" spans="1:7" ht="31.5" x14ac:dyDescent="0.25">
      <c r="A27" s="26" t="s">
        <v>49</v>
      </c>
      <c r="B27" s="26"/>
      <c r="C27" s="32" t="s">
        <v>50</v>
      </c>
      <c r="D27" s="43" t="s">
        <v>93</v>
      </c>
      <c r="E27" s="27">
        <f>IF(D27="Yes",1,IF(D27="Yes - With Exception",0.5,IF(D27="Not Final ARB",1,0)))</f>
        <v>1</v>
      </c>
      <c r="F27" s="28"/>
      <c r="G27" s="37" t="s">
        <v>51</v>
      </c>
    </row>
    <row r="28" spans="1:7" ht="63" x14ac:dyDescent="0.25">
      <c r="A28" s="26" t="s">
        <v>52</v>
      </c>
      <c r="B28" s="26"/>
      <c r="C28" s="29" t="s">
        <v>53</v>
      </c>
      <c r="D28" s="43" t="s">
        <v>93</v>
      </c>
      <c r="E28" s="27">
        <f>IF(D28="Yes",1,IF(D28="Not Final ARB",1,0))</f>
        <v>1</v>
      </c>
      <c r="G28" s="40" t="s">
        <v>54</v>
      </c>
    </row>
    <row r="29" spans="1:7" ht="47.25" x14ac:dyDescent="0.25">
      <c r="A29" s="24" t="s">
        <v>55</v>
      </c>
      <c r="B29" s="31"/>
      <c r="C29" s="32" t="s">
        <v>56</v>
      </c>
      <c r="D29" s="43" t="s">
        <v>67</v>
      </c>
      <c r="E29" s="27">
        <f>IF(D29="Yes",1,IF(D29="Yes - With Exception",0.5,IF(D29="Not Final ARB",1,0)))</f>
        <v>0</v>
      </c>
      <c r="F29" s="28"/>
      <c r="G29" s="37" t="s">
        <v>57</v>
      </c>
    </row>
    <row r="30" spans="1:7" ht="31.5" x14ac:dyDescent="0.25">
      <c r="A30" s="24" t="s">
        <v>55</v>
      </c>
      <c r="B30" s="31" t="s">
        <v>58</v>
      </c>
      <c r="C30" s="29" t="s">
        <v>59</v>
      </c>
      <c r="D30" s="43" t="s">
        <v>67</v>
      </c>
      <c r="E30" s="27">
        <f>IF(D30 = "No",1,IF(D30 = "",0,IF(D30 = "N/A",1,-11)))</f>
        <v>1</v>
      </c>
      <c r="F30" s="28"/>
      <c r="G30" s="37"/>
    </row>
  </sheetData>
  <sheetProtection algorithmName="SHA-512" hashValue="pEMHXvzF3L9M08zpnKJ2wkMh1MrOWUpBqdJ5EACqwHrxH9fDlKp3pKz6vM1ZqCnhpV25BRDk5SRK7uQKtpURtA==" saltValue="uWvzx3uRkMFQf2ojMyYG2Q==" spinCount="100000" sheet="1" objects="1" scenarios="1"/>
  <autoFilter ref="A2:G30" xr:uid="{C8F5E862-E634-4BBD-9593-84317083CAE8}"/>
  <conditionalFormatting sqref="E1">
    <cfRule type="cellIs" dxfId="3" priority="1" operator="between">
      <formula>0.9</formula>
      <formula>1</formula>
    </cfRule>
    <cfRule type="cellIs" dxfId="2" priority="2" operator="between">
      <formula>0</formula>
      <formula>0.899</formula>
    </cfRule>
  </conditionalFormatting>
  <conditionalFormatting sqref="E4:E30">
    <cfRule type="colorScale" priority="20">
      <colorScale>
        <cfvo type="min"/>
        <cfvo type="percentile" val="50"/>
        <cfvo type="max"/>
        <color theme="5" tint="0.39997558519241921"/>
        <color theme="7" tint="0.39997558519241921"/>
        <color theme="9" tint="0.79998168889431442"/>
      </colorScale>
    </cfRule>
  </conditionalFormatting>
  <dataValidations count="12">
    <dataValidation type="list" allowBlank="1" showInputMessage="1" showErrorMessage="1" sqref="D27 D29 D24:D25" xr:uid="{B9E159FB-EA53-414D-AA72-C549A1A443B6}">
      <formula1>"Yes, Yes - With Exception, No, Not Final ARB"</formula1>
    </dataValidation>
    <dataValidation type="list" allowBlank="1" showInputMessage="1" showErrorMessage="1" sqref="D23" xr:uid="{7125961B-2606-4ED6-8099-B54A99128DC2}">
      <formula1>"Yes - TRA is required and Complete, Yes - TRA is required and not complete, No - TRA is Not Required"</formula1>
    </dataValidation>
    <dataValidation type="list" allowBlank="1" showInputMessage="1" showErrorMessage="1" sqref="D20" xr:uid="{EF0A788A-D535-4FC3-BC01-83C151C8669F}">
      <formula1>"Yes, No, Not Applicable For This Type of ARB"</formula1>
    </dataValidation>
    <dataValidation type="list" allowBlank="1" showInputMessage="1" showErrorMessage="1" sqref="D7" xr:uid="{EB35C9C1-7D67-47EB-BC26-235CF5D59770}">
      <formula1>"Yes, No, Not a Final ARB"</formula1>
    </dataValidation>
    <dataValidation type="list" allowBlank="1" showInputMessage="1" showErrorMessage="1" sqref="D26" xr:uid="{4B977B89-C887-450C-A252-A59940F574AB}">
      <formula1>"Yes, No, Solution Does Not Requre a Data Privacy Impact Assessment"</formula1>
    </dataValidation>
    <dataValidation type="list" allowBlank="1" showInputMessage="1" showErrorMessage="1" sqref="D30 D19" xr:uid="{95BB7BAA-2E3E-40EE-957E-C5340850AD6F}">
      <formula1>"Yes, No, N/A"</formula1>
    </dataValidation>
    <dataValidation type="list" allowBlank="1" showInputMessage="1" showErrorMessage="1" sqref="D18" xr:uid="{E4346746-97CC-4061-8A71-03FA3F6890E3}">
      <formula1>"Yes, No, Not Final ARB"</formula1>
    </dataValidation>
    <dataValidation type="list" allowBlank="1" showInputMessage="1" showErrorMessage="1" sqref="D28" xr:uid="{F840B9DF-FA4C-4AC5-8226-36D1BB5A2CA8}">
      <formula1>"Yes, No, Not Final ARB, Don't know"</formula1>
    </dataValidation>
    <dataValidation type="list" allowBlank="1" showInputMessage="1" showErrorMessage="1" sqref="D28" xr:uid="{5CDAD07A-FCF3-4A9B-98A0-AAC8A5B23EFA}">
      <formula1>"Yes, No"</formula1>
    </dataValidation>
    <dataValidation type="list" allowBlank="1" showInputMessage="1" showErrorMessage="1" sqref="D4" xr:uid="{8A179E62-7722-41E6-A7E6-4F3A6704EDF3}">
      <formula1>Answers</formula1>
    </dataValidation>
    <dataValidation type="list" allowBlank="1" showInputMessage="1" showErrorMessage="1" sqref="D31 D240:D1048576" xr:uid="{DFE3D393-0266-4BDD-8D2B-7FA3466AE9BB}">
      <formula1>$R$2:$R$7</formula1>
    </dataValidation>
    <dataValidation type="list" allowBlank="1" showInputMessage="1" showErrorMessage="1" sqref="D17" xr:uid="{1EB1BF1E-1BCF-4ACD-9DD6-F27F0487F29D}">
      <formula1>"Yes, No, Not Final ARB, Solution doesn't use machine / container images"</formula1>
    </dataValidation>
  </dataValidations>
  <hyperlinks>
    <hyperlink ref="G14" r:id="rId1" display="https://aegonna.sharepoint.com/sites/GEA/SitePages/Architecture-Principles.aspx" xr:uid="{EDEAF0E6-99BF-4CB3-8844-C370DC6A529F}"/>
    <hyperlink ref="G10" r:id="rId2" xr:uid="{C1D9D923-96E5-410D-9688-D549826A6711}"/>
    <hyperlink ref="G7" r:id="rId3" xr:uid="{179E703A-31AB-4CBB-A9FB-E93D45B58A16}"/>
    <hyperlink ref="G23" r:id="rId4" xr:uid="{7335458A-6311-4E5E-934A-F16F0D380C19}"/>
    <hyperlink ref="G3" r:id="rId5" xr:uid="{9EF7264A-2C1C-45DD-99CB-B8C371E1FCC1}"/>
  </hyperlinks>
  <pageMargins left="0.7" right="0.7" top="0.75" bottom="0.75" header="0.3" footer="0.3"/>
  <pageSetup orientation="portrait" r:id="rId6"/>
  <ignoredErrors>
    <ignoredError sqref="E10 E14 E28 E26" formula="1"/>
  </ignoredErrors>
  <legacyDrawing r:id="rId7"/>
  <extLst>
    <ext xmlns:x14="http://schemas.microsoft.com/office/spreadsheetml/2009/9/main" uri="{CCE6A557-97BC-4b89-ADB6-D9C93CAAB3DF}">
      <x14:dataValidations xmlns:xm="http://schemas.microsoft.com/office/excel/2006/main" count="8">
        <x14:dataValidation type="list" allowBlank="1" showInputMessage="1" showErrorMessage="1" xr:uid="{D78FA92D-3EFD-4704-8F20-959288F801C5}">
          <x14:formula1>
            <xm:f>References!$K$4:$K$9</xm:f>
          </x14:formula1>
          <xm:sqref>D10</xm:sqref>
        </x14:dataValidation>
        <x14:dataValidation type="list" allowBlank="1" showInputMessage="1" showErrorMessage="1" xr:uid="{ADD40737-B8F3-4C3D-85DB-1E2E4FAA3F94}">
          <x14:formula1>
            <xm:f>References!$Y$4:$Y$12</xm:f>
          </x14:formula1>
          <xm:sqref>D3</xm:sqref>
        </x14:dataValidation>
        <x14:dataValidation type="list" allowBlank="1" showInputMessage="1" showErrorMessage="1" xr:uid="{11783F38-1C1A-437F-92C3-32EB514892A3}">
          <x14:formula1>
            <xm:f>References!$U$4:$U$14</xm:f>
          </x14:formula1>
          <xm:sqref>D6</xm:sqref>
        </x14:dataValidation>
        <x14:dataValidation type="list" allowBlank="1" showInputMessage="1" showErrorMessage="1" xr:uid="{A678BBD6-028A-4C43-B7F4-05EECD64D6D5}">
          <x14:formula1>
            <xm:f>References!$L$4:$L$8</xm:f>
          </x14:formula1>
          <xm:sqref>D14</xm:sqref>
        </x14:dataValidation>
        <x14:dataValidation type="list" allowBlank="1" showInputMessage="1" showErrorMessage="1" xr:uid="{024BA9D3-54D8-41ED-99AB-FFF70D434BA4}">
          <x14:formula1>
            <xm:f>References!$W$4:$W$8</xm:f>
          </x14:formula1>
          <xm:sqref>D22</xm:sqref>
        </x14:dataValidation>
        <x14:dataValidation type="list" allowBlank="1" showInputMessage="1" showErrorMessage="1" xr:uid="{4253A1FE-4B50-4D9B-B873-FDBBAF4DB88A}">
          <x14:formula1>
            <xm:f>References!$T$4:$T$11</xm:f>
          </x14:formula1>
          <xm:sqref>D5</xm:sqref>
        </x14:dataValidation>
        <x14:dataValidation type="list" allowBlank="1" showInputMessage="1" showErrorMessage="1" xr:uid="{237A1733-7D55-404E-9AA1-A0CA01CEEC50}">
          <x14:formula1>
            <xm:f>References!$V$4:$V$10</xm:f>
          </x14:formula1>
          <xm:sqref>D21</xm:sqref>
        </x14:dataValidation>
        <x14:dataValidation type="list" allowBlank="1" showInputMessage="1" showErrorMessage="1" xr:uid="{9C16E82F-C197-4912-B6B9-40DD97E2D0AB}">
          <x14:formula1>
            <xm:f>References!$Z$4:$Z$6</xm:f>
          </x14:formula1>
          <xm:sqref>D8:D9 D11:D13 D15:D16</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F5E862-E634-4BBD-9593-84317083CAE8}">
  <dimension ref="A1:G31"/>
  <sheetViews>
    <sheetView zoomScaleNormal="100" workbookViewId="0">
      <pane ySplit="1" topLeftCell="A26" activePane="bottomLeft" state="frozen"/>
      <selection pane="bottomLeft" activeCell="D35" sqref="D35"/>
    </sheetView>
  </sheetViews>
  <sheetFormatPr defaultColWidth="10.75" defaultRowHeight="15.75" x14ac:dyDescent="0.25"/>
  <cols>
    <col min="1" max="1" width="22.75" style="2" customWidth="1"/>
    <col min="2" max="2" width="31.75" style="2" hidden="1" customWidth="1"/>
    <col min="3" max="3" width="54" style="21" customWidth="1"/>
    <col min="4" max="4" width="32.75" style="23" customWidth="1"/>
    <col min="5" max="5" width="23.25" style="3" customWidth="1"/>
    <col min="6" max="6" width="35" style="5" customWidth="1"/>
    <col min="7" max="7" width="56.25" style="21" customWidth="1"/>
    <col min="8" max="16384" width="10.75" style="2"/>
  </cols>
  <sheetData>
    <row r="1" spans="1:7" s="34" customFormat="1" ht="107.65" customHeight="1" x14ac:dyDescent="0.25">
      <c r="A1" s="35" t="s">
        <v>1</v>
      </c>
      <c r="B1" s="36" t="s">
        <v>2</v>
      </c>
      <c r="C1" s="36" t="s">
        <v>3</v>
      </c>
      <c r="D1" s="36" t="s">
        <v>4</v>
      </c>
      <c r="E1" s="36" t="s">
        <v>5</v>
      </c>
      <c r="F1" s="35" t="s">
        <v>60</v>
      </c>
      <c r="G1" s="36" t="s">
        <v>7</v>
      </c>
    </row>
    <row r="2" spans="1:7" ht="31.5" x14ac:dyDescent="0.25">
      <c r="A2" s="24" t="s">
        <v>8</v>
      </c>
      <c r="B2" s="24"/>
      <c r="C2" s="25" t="s">
        <v>9</v>
      </c>
      <c r="D2" s="43" t="s">
        <v>61</v>
      </c>
      <c r="E2" s="33" t="s">
        <v>10</v>
      </c>
      <c r="F2" s="28"/>
      <c r="G2" s="37"/>
    </row>
    <row r="3" spans="1:7" ht="31.5" x14ac:dyDescent="0.25">
      <c r="A3" s="24" t="s">
        <v>8</v>
      </c>
      <c r="B3" s="26"/>
      <c r="C3" s="25" t="s">
        <v>12</v>
      </c>
      <c r="D3" s="43" t="s">
        <v>62</v>
      </c>
      <c r="E3" s="27">
        <f>IF(D3 = "Yes",1,IF(D3 = "N/A",1,0))</f>
        <v>1</v>
      </c>
      <c r="F3" s="28"/>
      <c r="G3" s="37"/>
    </row>
    <row r="4" spans="1:7" ht="31.5" x14ac:dyDescent="0.25">
      <c r="A4" s="24" t="s">
        <v>8</v>
      </c>
      <c r="B4" s="26"/>
      <c r="C4" s="29" t="s">
        <v>63</v>
      </c>
      <c r="D4" s="43" t="s">
        <v>64</v>
      </c>
      <c r="E4" s="27">
        <f>IF(D4="AWS",1,IF(D4="Physical DataCenter",1,IF(D4="Azure",1,IF(D4="SaaS",1,IF(D4="PaaS",1,IF(D4="Not Applicable",1,0))))))</f>
        <v>1</v>
      </c>
      <c r="F4" s="28"/>
      <c r="G4" s="37"/>
    </row>
    <row r="5" spans="1:7" x14ac:dyDescent="0.25">
      <c r="A5" s="24" t="s">
        <v>8</v>
      </c>
      <c r="B5" s="26"/>
      <c r="C5" s="25" t="s">
        <v>14</v>
      </c>
      <c r="D5" s="43" t="s">
        <v>65</v>
      </c>
      <c r="E5" s="27">
        <f>IF(D5="US - ADC - Cedar Rapids",1,IF(D5="EU - EDC - Edinburgh",1,IF(D5="AWS - Ohio",1,IF(D5="AWS - Ireland",1,IF(D5="AWS - N. Virginia",1,IF(D5="Azure - Multiple Approved",1,IF(D5="AWS - Multiple Approved",1,IF(D5="Azure - Northern Europe",1,IF(D5="Azure - East US",1,IF(D5="Azure - East US",1,IF(D5="EU - EDC",1,IF(D5="Both ADC and EDC",1,IF(D5="US - ADC",1,IF(D5="N/A",1,0))))))))))))))</f>
        <v>1</v>
      </c>
      <c r="F5" s="28"/>
      <c r="G5" s="37"/>
    </row>
    <row r="6" spans="1:7" ht="31.5" x14ac:dyDescent="0.25">
      <c r="A6" s="24" t="s">
        <v>8</v>
      </c>
      <c r="B6" s="26"/>
      <c r="C6" s="25" t="s">
        <v>66</v>
      </c>
      <c r="D6" s="43" t="s">
        <v>67</v>
      </c>
      <c r="E6" s="27">
        <f>IF(D6 = "Yes",1,IF(D6 = "Not a Final ARB",1,0))</f>
        <v>0</v>
      </c>
      <c r="F6" s="28"/>
      <c r="G6" s="41" t="s">
        <v>16</v>
      </c>
    </row>
    <row r="7" spans="1:7" ht="31.5" x14ac:dyDescent="0.25">
      <c r="A7" s="26" t="s">
        <v>8</v>
      </c>
      <c r="B7" s="26"/>
      <c r="C7" s="25" t="s">
        <v>68</v>
      </c>
      <c r="D7" s="43" t="s">
        <v>69</v>
      </c>
      <c r="E7" s="30">
        <f>IF(D7="Observability Pattern Name 1",1,IF(D7="Observability Pattern Name 2",1,IF(D7="Observability Pattern Name 3",1,IF(D7="Observability Pattern Name 4",1,IF(D7="Observability Pattern Name 5",1,IF(D7="Observability Pattern Name 6",1,IF(D7="Observability is not a requirement",1,0)))))))</f>
        <v>0</v>
      </c>
      <c r="F7" s="28"/>
      <c r="G7" s="37" t="s">
        <v>70</v>
      </c>
    </row>
    <row r="8" spans="1:7" x14ac:dyDescent="0.25">
      <c r="A8" s="24" t="s">
        <v>8</v>
      </c>
      <c r="B8" s="31"/>
      <c r="C8" s="29" t="s">
        <v>71</v>
      </c>
      <c r="D8" s="44" t="s">
        <v>72</v>
      </c>
      <c r="E8" s="30">
        <f>IF(D8="Resiliency Pattern Name 1",1,IF(D8="Resiliency Pattern Name 2",1,IF(D8="Resiliency Pattern Name 3",1,IF(D8="Resiliency Pattern Name 4",1,IF(D8="v",1,IF(D8="Resiliency is not a requirement",1,0))))))</f>
        <v>1</v>
      </c>
      <c r="F8" s="28"/>
      <c r="G8" s="37" t="s">
        <v>73</v>
      </c>
    </row>
    <row r="9" spans="1:7" x14ac:dyDescent="0.25">
      <c r="A9" s="24" t="s">
        <v>8</v>
      </c>
      <c r="B9" s="26"/>
      <c r="C9" s="25" t="s">
        <v>19</v>
      </c>
      <c r="D9" s="43" t="s">
        <v>74</v>
      </c>
      <c r="E9" s="27">
        <f>IF(D9="100% Availability (Platinum)",1,IF(D9="99.9% Availability (Gold)",1,IF(D9="99% Availability (Silver)",1,IF(D9="97% Availability (Bronze)",1,IF(D9="Availability is not a requirement",1,0)))))</f>
        <v>1</v>
      </c>
      <c r="F9" s="28"/>
      <c r="G9" s="41" t="s">
        <v>20</v>
      </c>
    </row>
    <row r="10" spans="1:7" x14ac:dyDescent="0.25">
      <c r="A10" s="24" t="s">
        <v>8</v>
      </c>
      <c r="B10" s="26"/>
      <c r="C10" s="25" t="s">
        <v>75</v>
      </c>
      <c r="D10" s="43" t="s">
        <v>76</v>
      </c>
      <c r="E10" s="27">
        <f>IF(D10="DR Pattern Name 1",1,IF(D10="DR Pattern Name 2",1,IF(D10="DR Pattern Name 3",1,IF(D10="DR Pattern Name 4",1,IF(D10="DR is not a requirement",1,0)))))</f>
        <v>0</v>
      </c>
      <c r="F10" s="28"/>
      <c r="G10" s="37" t="s">
        <v>77</v>
      </c>
    </row>
    <row r="11" spans="1:7" x14ac:dyDescent="0.25">
      <c r="A11" s="24" t="s">
        <v>8</v>
      </c>
      <c r="B11" s="26"/>
      <c r="C11" s="25" t="s">
        <v>78</v>
      </c>
      <c r="D11" s="43" t="s">
        <v>79</v>
      </c>
      <c r="E11" s="27">
        <f>IF(D11="Backup Pattern Name 1",1,IF(D11="Backup Pattern Name 2",1,IF(D11="Backup Pattern Name 3",1,IF(D11="Backup Pattern Name 4",1,IF(D11="Backup is not a requirement",1,0)))))</f>
        <v>0</v>
      </c>
      <c r="F11" s="28"/>
      <c r="G11" s="37" t="s">
        <v>80</v>
      </c>
    </row>
    <row r="12" spans="1:7" ht="31.5" x14ac:dyDescent="0.25">
      <c r="A12" s="24" t="s">
        <v>8</v>
      </c>
      <c r="B12" s="26"/>
      <c r="C12" s="25" t="s">
        <v>81</v>
      </c>
      <c r="D12" s="43" t="s">
        <v>82</v>
      </c>
      <c r="E12" s="30">
        <f>IF(D12="Deployment Pattern Name 1",1,IF(D12="Deployment Pattern Name 2",1,IF(D12="Deployment Pattern Name 3",1,IF(D12="Deployment Pattern Name 4",1,IF(D12="Deployment Pattern Name 5",1,IF(D12="Deployment Pattern Name 6",1,IF(D12="Deployment is not a requirement",1,0)))))))</f>
        <v>0</v>
      </c>
      <c r="F12" s="28"/>
      <c r="G12" s="37" t="s">
        <v>83</v>
      </c>
    </row>
    <row r="13" spans="1:7" ht="31.5" x14ac:dyDescent="0.25">
      <c r="A13" s="24" t="s">
        <v>8</v>
      </c>
      <c r="B13" s="31"/>
      <c r="C13" s="25" t="s">
        <v>24</v>
      </c>
      <c r="D13" s="44" t="s">
        <v>84</v>
      </c>
      <c r="E13" s="27">
        <f>IF(D13="Yes",1,IF(D13="N/A",1,IF(D13="Partial",0.5,0)))</f>
        <v>0.5</v>
      </c>
      <c r="G13" s="38" t="s">
        <v>25</v>
      </c>
    </row>
    <row r="14" spans="1:7" ht="47.25" x14ac:dyDescent="0.25">
      <c r="A14" s="26" t="s">
        <v>8</v>
      </c>
      <c r="B14" s="26"/>
      <c r="C14" s="25" t="s">
        <v>85</v>
      </c>
      <c r="D14" s="43" t="s">
        <v>86</v>
      </c>
      <c r="E14" s="27">
        <f>IF(D14="Third Party Integration Pattern Name 1",1,IF(D14="Third Party Integration Pattern Name 2",1,IF(D14="Third Party Integration Pattern Name 3",1,IF(D14="Third Party Integration Pattern Name 4",1,IF(D14="Third Party Integration Pattern Name 5",1,IF(D14="Third Party Integration Pattern Name 6",1,IF(D14="Third Party Integration is not a requirement",1,IF(D14="Multiple Approved Third Party Integration Patterns",1,0))))))))</f>
        <v>1</v>
      </c>
      <c r="F14" s="28"/>
      <c r="G14" s="37" t="s">
        <v>87</v>
      </c>
    </row>
    <row r="15" spans="1:7" ht="47.25" x14ac:dyDescent="0.25">
      <c r="A15" s="26" t="s">
        <v>8</v>
      </c>
      <c r="B15" s="26"/>
      <c r="C15" s="25" t="s">
        <v>88</v>
      </c>
      <c r="D15" s="43" t="s">
        <v>89</v>
      </c>
      <c r="E15" s="27">
        <f>IF(D15="Internal Integration Pattern Name 1",1,IF(D15="Internal Integration Pattern Name 2",1,IF(D15="Internal Integration Pattern Name 3",1,IF(D15="Internal Integration Pattern Name 4",1,IF(D15="Internal Integration Pattern Name 5",1,IF(D15="Internal Integration Pattern Name 6",1,IF(D15="Internal Integration is not a requirement",1,IF(D15="Multiple Approved Internal Integration Patterns",1,0))))))))</f>
        <v>1</v>
      </c>
      <c r="F15" s="28"/>
      <c r="G15" s="37" t="s">
        <v>90</v>
      </c>
    </row>
    <row r="16" spans="1:7" ht="31.5" x14ac:dyDescent="0.25">
      <c r="A16" s="26" t="s">
        <v>8</v>
      </c>
      <c r="B16" s="26" t="s">
        <v>29</v>
      </c>
      <c r="C16" s="25" t="s">
        <v>91</v>
      </c>
      <c r="D16" s="43" t="s">
        <v>10</v>
      </c>
      <c r="E16" s="27">
        <f>IF(D16 = "Yes",1,IF(D16 = "N/A",1,0))</f>
        <v>1</v>
      </c>
      <c r="F16" s="28"/>
      <c r="G16" s="37" t="s">
        <v>92</v>
      </c>
    </row>
    <row r="17" spans="1:7" ht="110.25" x14ac:dyDescent="0.25">
      <c r="A17" s="26" t="s">
        <v>8</v>
      </c>
      <c r="B17" s="26" t="s">
        <v>32</v>
      </c>
      <c r="C17" s="25" t="s">
        <v>33</v>
      </c>
      <c r="D17" s="43" t="s">
        <v>93</v>
      </c>
      <c r="E17" s="27">
        <f>IF(D17 = "Yes",1,IF(D17 = "Not Final ARB",1,0))</f>
        <v>1</v>
      </c>
      <c r="G17" s="39" t="s">
        <v>27</v>
      </c>
    </row>
    <row r="18" spans="1:7" x14ac:dyDescent="0.25">
      <c r="A18" s="26" t="s">
        <v>8</v>
      </c>
      <c r="B18" s="26" t="s">
        <v>32</v>
      </c>
      <c r="C18" s="25" t="s">
        <v>34</v>
      </c>
      <c r="D18" s="43" t="s">
        <v>10</v>
      </c>
      <c r="E18" s="27">
        <f>IF(D18="Yes",1,IF(D18="N/A",1,0))</f>
        <v>1</v>
      </c>
      <c r="F18" s="28"/>
      <c r="G18" s="37"/>
    </row>
    <row r="19" spans="1:7" ht="47.25" x14ac:dyDescent="0.25">
      <c r="A19" s="26" t="s">
        <v>8</v>
      </c>
      <c r="B19" s="26"/>
      <c r="C19" s="25" t="s">
        <v>35</v>
      </c>
      <c r="D19" s="43" t="s">
        <v>94</v>
      </c>
      <c r="E19" s="27">
        <f>IF(D19="Yes",1,IF(D19="Not Applicable For This Type of ARB",1,0))</f>
        <v>1</v>
      </c>
      <c r="F19" s="28"/>
      <c r="G19" s="37"/>
    </row>
    <row r="20" spans="1:7" ht="31.5" x14ac:dyDescent="0.25">
      <c r="A20" s="26" t="s">
        <v>8</v>
      </c>
      <c r="B20" s="26"/>
      <c r="C20" s="25" t="s">
        <v>36</v>
      </c>
      <c r="D20" s="43" t="s">
        <v>95</v>
      </c>
      <c r="E20" s="27">
        <f>IF(D20="Ping",1,IF(D20="PingOne",1,IF(D20="ISAM",1,IF(D20="TACACS+",1,IF(D20="OKTA",1,IF(D20="Identity is not a part of the solution",1,0))))))</f>
        <v>1</v>
      </c>
      <c r="F20" s="28"/>
      <c r="G20" s="37"/>
    </row>
    <row r="21" spans="1:7" x14ac:dyDescent="0.25">
      <c r="A21" s="26" t="s">
        <v>8</v>
      </c>
      <c r="B21" s="26"/>
      <c r="C21" s="25" t="s">
        <v>37</v>
      </c>
      <c r="D21" s="43" t="s">
        <v>96</v>
      </c>
      <c r="E21" s="27">
        <f>IF(D21 = "CyberArk",1,IF(D21 = "AWS Secrets Manager",1,IF(D21 = "Secrets management is not a requirement",1,0)))</f>
        <v>1</v>
      </c>
      <c r="F21" s="28"/>
      <c r="G21" s="37"/>
    </row>
    <row r="22" spans="1:7" ht="31.5" x14ac:dyDescent="0.25">
      <c r="A22" s="26" t="s">
        <v>38</v>
      </c>
      <c r="B22" s="26"/>
      <c r="C22" s="25" t="s">
        <v>39</v>
      </c>
      <c r="D22" s="43" t="s">
        <v>97</v>
      </c>
      <c r="E22" s="27">
        <f>IF(D22="Yes - TRA Is Required and Complete",1,IF(D22="No - TRA Is Not Required",1,0))</f>
        <v>0</v>
      </c>
      <c r="F22" s="28"/>
      <c r="G22" s="41" t="s">
        <v>40</v>
      </c>
    </row>
    <row r="23" spans="1:7" ht="31.5" x14ac:dyDescent="0.25">
      <c r="A23" s="26" t="s">
        <v>38</v>
      </c>
      <c r="B23" s="26"/>
      <c r="C23" s="32" t="s">
        <v>41</v>
      </c>
      <c r="D23" s="43" t="s">
        <v>98</v>
      </c>
      <c r="E23" s="27">
        <f>IF(D23="Yes",1,IF(D23="Yes - With Exception",0.5,IF(D23="Not Final ARB",1,0)))</f>
        <v>0.5</v>
      </c>
      <c r="F23" s="28"/>
      <c r="G23" s="41"/>
    </row>
    <row r="24" spans="1:7" ht="31.5" x14ac:dyDescent="0.25">
      <c r="A24" s="26" t="s">
        <v>44</v>
      </c>
      <c r="B24" s="26" t="s">
        <v>44</v>
      </c>
      <c r="C24" s="32" t="s">
        <v>99</v>
      </c>
      <c r="D24" s="43" t="s">
        <v>98</v>
      </c>
      <c r="E24" s="27">
        <f>IF(D24="Yes",1,IF(D24="Yes - With Exception",0.5,IF(D24="Not Final ARB",1,0)))</f>
        <v>0.5</v>
      </c>
      <c r="F24" s="28"/>
      <c r="G24" s="37" t="s">
        <v>100</v>
      </c>
    </row>
    <row r="25" spans="1:7" ht="362.25" x14ac:dyDescent="0.25">
      <c r="A25" s="24" t="s">
        <v>43</v>
      </c>
      <c r="B25" s="31"/>
      <c r="C25" s="29" t="s">
        <v>101</v>
      </c>
      <c r="D25" s="43" t="s">
        <v>102</v>
      </c>
      <c r="E25" s="27">
        <f>IF(D25="Yes",1,IF(D25="Solution Does Not Requre a Data Protection Impact Assessment",1,0))</f>
        <v>1</v>
      </c>
      <c r="F25" s="28"/>
      <c r="G25" s="42" t="s">
        <v>48</v>
      </c>
    </row>
    <row r="26" spans="1:7" ht="31.5" x14ac:dyDescent="0.25">
      <c r="A26" s="26" t="s">
        <v>49</v>
      </c>
      <c r="B26" s="26"/>
      <c r="C26" s="32" t="s">
        <v>103</v>
      </c>
      <c r="D26" s="43" t="s">
        <v>98</v>
      </c>
      <c r="E26" s="27">
        <f>IF(D26="Yes",1,IF(D26="Yes - With Exception",0.5,IF(D26="Not Final ARB",1,0)))</f>
        <v>0.5</v>
      </c>
      <c r="F26" s="28"/>
      <c r="G26" s="37" t="s">
        <v>104</v>
      </c>
    </row>
    <row r="27" spans="1:7" ht="63" x14ac:dyDescent="0.25">
      <c r="A27" s="26" t="s">
        <v>52</v>
      </c>
      <c r="B27" s="26"/>
      <c r="C27" s="29" t="s">
        <v>105</v>
      </c>
      <c r="D27" s="43" t="s">
        <v>67</v>
      </c>
      <c r="E27" s="27">
        <f>IF(D27 = "Yes",1,0)</f>
        <v>0</v>
      </c>
      <c r="G27" s="40" t="s">
        <v>106</v>
      </c>
    </row>
    <row r="28" spans="1:7" ht="31.5" x14ac:dyDescent="0.25">
      <c r="A28" s="24" t="s">
        <v>55</v>
      </c>
      <c r="B28" s="31"/>
      <c r="C28" s="32" t="s">
        <v>107</v>
      </c>
      <c r="D28" s="43" t="s">
        <v>98</v>
      </c>
      <c r="E28" s="27">
        <f>IF(D28="Yes",1,IF(D28="Yes - With Exception",0.5,IF(D28="Not Final ARB",1,0)))</f>
        <v>0.5</v>
      </c>
      <c r="F28" s="28"/>
      <c r="G28" s="37" t="s">
        <v>108</v>
      </c>
    </row>
    <row r="29" spans="1:7" ht="31.5" x14ac:dyDescent="0.25">
      <c r="A29" s="24" t="s">
        <v>55</v>
      </c>
      <c r="B29" s="31" t="s">
        <v>58</v>
      </c>
      <c r="C29" s="29" t="s">
        <v>59</v>
      </c>
      <c r="D29" s="43" t="s">
        <v>67</v>
      </c>
      <c r="E29" s="27">
        <f>IF(D29 = "No",1,IF(D29 = "N/A",1,0))</f>
        <v>1</v>
      </c>
      <c r="F29" s="28"/>
      <c r="G29" s="37"/>
    </row>
    <row r="30" spans="1:7" ht="16.5" thickBot="1" x14ac:dyDescent="0.3"/>
    <row r="31" spans="1:7" ht="32.25" thickBot="1" x14ac:dyDescent="0.3">
      <c r="D31" s="45" t="s">
        <v>0</v>
      </c>
      <c r="E31" s="46">
        <f>SUM(E2:E28)/27</f>
        <v>0.61111111111111116</v>
      </c>
    </row>
  </sheetData>
  <autoFilter ref="A1:G29" xr:uid="{C8F5E862-E634-4BBD-9593-84317083CAE8}"/>
  <sortState xmlns:xlrd2="http://schemas.microsoft.com/office/spreadsheetml/2017/richdata2" ref="A2:G29">
    <sortCondition ref="A2:A29"/>
  </sortState>
  <conditionalFormatting sqref="E3:E4 E6:E29">
    <cfRule type="colorScale" priority="19">
      <colorScale>
        <cfvo type="min"/>
        <cfvo type="max"/>
        <color theme="5" tint="0.59999389629810485"/>
        <color theme="9" tint="0.79998168889431442"/>
      </colorScale>
    </cfRule>
  </conditionalFormatting>
  <conditionalFormatting sqref="E5">
    <cfRule type="colorScale" priority="3">
      <colorScale>
        <cfvo type="min"/>
        <cfvo type="max"/>
        <color theme="5" tint="0.59999389629810485"/>
        <color theme="9" tint="0.79998168889431442"/>
      </colorScale>
    </cfRule>
  </conditionalFormatting>
  <conditionalFormatting sqref="E31">
    <cfRule type="cellIs" dxfId="1" priority="1" operator="between">
      <formula>0.9</formula>
      <formula>1</formula>
    </cfRule>
    <cfRule type="cellIs" dxfId="0" priority="2" operator="between">
      <formula>0</formula>
      <formula>0.899</formula>
    </cfRule>
  </conditionalFormatting>
  <dataValidations count="11">
    <dataValidation type="list" allowBlank="1" showInputMessage="1" showErrorMessage="1" sqref="D30 D32:D1048576" xr:uid="{FE6F4BB9-0DF5-47F3-A794-561319C798E0}">
      <formula1>$R$1:$R$6</formula1>
    </dataValidation>
    <dataValidation type="list" allowBlank="1" showInputMessage="1" showErrorMessage="1" sqref="D3" xr:uid="{275F8836-AF0B-48A3-89E2-B390F1BEBD2B}">
      <formula1>Answers</formula1>
    </dataValidation>
    <dataValidation type="list" allowBlank="1" showInputMessage="1" showErrorMessage="1" sqref="D27" xr:uid="{0278A199-13A3-4E7B-A52B-311A50CAE65D}">
      <formula1>"Yes, No"</formula1>
    </dataValidation>
    <dataValidation type="list" allowBlank="1" showInputMessage="1" showErrorMessage="1" sqref="D27" xr:uid="{856B28FF-9688-4716-A7F8-A5959CED53CC}">
      <formula1>"Yes, No, Don't know"</formula1>
    </dataValidation>
    <dataValidation type="list" allowBlank="1" showInputMessage="1" showErrorMessage="1" sqref="D17" xr:uid="{464F7A72-1EBA-46C5-B4E1-9EF1BE160033}">
      <formula1>"Yes, No, Not Final ARB"</formula1>
    </dataValidation>
    <dataValidation type="list" allowBlank="1" showInputMessage="1" showErrorMessage="1" sqref="D16 D18 D29" xr:uid="{BF58A990-BDF8-49CF-AF64-40EB1408C479}">
      <formula1>"Yes, No, N/A"</formula1>
    </dataValidation>
    <dataValidation type="list" allowBlank="1" showInputMessage="1" showErrorMessage="1" sqref="D25" xr:uid="{037D7C1F-7EC8-4382-A8A6-77467334290A}">
      <formula1>"Yes, No, Solution Does Not Requre a Data Protection Impact Assessment"</formula1>
    </dataValidation>
    <dataValidation type="list" allowBlank="1" showInputMessage="1" showErrorMessage="1" sqref="D6" xr:uid="{8E587C3A-822A-4328-9968-6C511FBA2E81}">
      <formula1>"Yes, No, Not a Final ARB"</formula1>
    </dataValidation>
    <dataValidation type="list" allowBlank="1" showInputMessage="1" showErrorMessage="1" sqref="D19" xr:uid="{7E91E490-6771-436F-B849-15889BB36462}">
      <formula1>"Yes, No, Not Applicable For This Type of ARB"</formula1>
    </dataValidation>
    <dataValidation type="list" allowBlank="1" showInputMessage="1" showErrorMessage="1" sqref="D22" xr:uid="{E450D1C9-74F3-4A9D-82D5-40DAB6DFA96C}">
      <formula1>"Yes - TRA is required and Complete, Yes - TRA is required and not complete, No - TRA is Not Required"</formula1>
    </dataValidation>
    <dataValidation type="list" allowBlank="1" showInputMessage="1" showErrorMessage="1" sqref="D26 D28 D23:D24" xr:uid="{CE3E1335-53C7-4EFD-8B0E-1E356239E764}">
      <formula1>"Yes, Yes - With Exception, No, Not Final ARB"</formula1>
    </dataValidation>
  </dataValidations>
  <hyperlinks>
    <hyperlink ref="G13" r:id="rId1" display="https://aegonna.sharepoint.com/sites/GEA/SitePages/Architecture-Principles.aspx" xr:uid="{1EB0469C-98D4-44D8-A88F-37CA4ADD7DE7}"/>
    <hyperlink ref="G9" r:id="rId2" xr:uid="{54589B64-D1F8-451B-A757-BC75AD7F6C6E}"/>
    <hyperlink ref="G6" r:id="rId3" xr:uid="{BE02F9F6-6ECE-4A7D-BABB-77C00C86AC8A}"/>
    <hyperlink ref="G22" r:id="rId4" xr:uid="{B2115E05-66B8-4BB5-ABD9-74BD6451FB39}"/>
  </hyperlinks>
  <pageMargins left="0.7" right="0.7" top="0.75" bottom="0.75" header="0.3" footer="0.3"/>
  <ignoredErrors>
    <ignoredError sqref="E29 E18 E27" formula="1"/>
  </ignoredErrors>
  <extLst>
    <ext xmlns:x14="http://schemas.microsoft.com/office/spreadsheetml/2009/9/main" uri="{CCE6A557-97BC-4b89-ADB6-D9C93CAAB3DF}">
      <x14:dataValidations xmlns:xm="http://schemas.microsoft.com/office/excel/2006/main" count="14">
        <x14:dataValidation type="list" allowBlank="1" showInputMessage="1" showErrorMessage="1" xr:uid="{4C9D6A15-5EF5-428C-B9D2-6C4552070C15}">
          <x14:formula1>
            <xm:f>References!$V$4:$V$10</xm:f>
          </x14:formula1>
          <xm:sqref>D20</xm:sqref>
        </x14:dataValidation>
        <x14:dataValidation type="list" allowBlank="1" showInputMessage="1" showErrorMessage="1" xr:uid="{928976EF-7B34-424F-AE31-53D62DC069A2}">
          <x14:formula1>
            <xm:f>References!$G$4:$G$9</xm:f>
          </x14:formula1>
          <xm:sqref>D10</xm:sqref>
        </x14:dataValidation>
        <x14:dataValidation type="list" allowBlank="1" showInputMessage="1" showErrorMessage="1" xr:uid="{079CAE7C-AAEA-4A1E-B6D2-086C00FCFA38}">
          <x14:formula1>
            <xm:f>References!$F$4:$F$9</xm:f>
          </x14:formula1>
          <xm:sqref>D11</xm:sqref>
        </x14:dataValidation>
        <x14:dataValidation type="list" allowBlank="1" showInputMessage="1" showErrorMessage="1" xr:uid="{DF59E26D-8CB1-4C78-8517-96D4A99ED97C}">
          <x14:formula1>
            <xm:f>References!$T$4:$T$10</xm:f>
          </x14:formula1>
          <xm:sqref>D4</xm:sqref>
        </x14:dataValidation>
        <x14:dataValidation type="list" allowBlank="1" showInputMessage="1" showErrorMessage="1" xr:uid="{529978FC-1C7A-40ED-8940-5F50346A5ACB}">
          <x14:formula1>
            <xm:f>References!$E$4:$E$11</xm:f>
          </x14:formula1>
          <xm:sqref>D12</xm:sqref>
        </x14:dataValidation>
        <x14:dataValidation type="list" allowBlank="1" showInputMessage="1" showErrorMessage="1" xr:uid="{97DC3A47-B7C3-484D-A22C-54F21D56526C}">
          <x14:formula1>
            <xm:f>References!$W$4:$W$8</xm:f>
          </x14:formula1>
          <xm:sqref>D21</xm:sqref>
        </x14:dataValidation>
        <x14:dataValidation type="list" allowBlank="1" showInputMessage="1" showErrorMessage="1" xr:uid="{48461D91-05CC-4DC0-B2DC-D8969994CD34}">
          <x14:formula1>
            <xm:f>References!$L$4:$L$8</xm:f>
          </x14:formula1>
          <xm:sqref>D13</xm:sqref>
        </x14:dataValidation>
        <x14:dataValidation type="list" allowBlank="1" showInputMessage="1" showErrorMessage="1" xr:uid="{7AAAEB8F-A633-4863-A6EC-3562A72BFAB8}">
          <x14:formula1>
            <xm:f>References!$I$4:$I$9</xm:f>
          </x14:formula1>
          <xm:sqref>D8</xm:sqref>
        </x14:dataValidation>
        <x14:dataValidation type="list" allowBlank="1" showInputMessage="1" showErrorMessage="1" xr:uid="{FD43B511-E19E-4BF5-A51A-53B111FAA42C}">
          <x14:formula1>
            <xm:f>References!$D$4:$D$10</xm:f>
          </x14:formula1>
          <xm:sqref>D7:D8</xm:sqref>
        </x14:dataValidation>
        <x14:dataValidation type="list" allowBlank="1" showInputMessage="1" showErrorMessage="1" xr:uid="{E5F26641-54D0-4234-A581-15A0375FCD14}">
          <x14:formula1>
            <xm:f>References!$U$4:$U$14</xm:f>
          </x14:formula1>
          <xm:sqref>D5</xm:sqref>
        </x14:dataValidation>
        <x14:dataValidation type="list" allowBlank="1" showInputMessage="1" showErrorMessage="1" xr:uid="{5C518A7F-0628-4107-8C63-3897022ED4DB}">
          <x14:formula1>
            <xm:f>References!$Y$4:$Y$12</xm:f>
          </x14:formula1>
          <xm:sqref>D2</xm:sqref>
        </x14:dataValidation>
        <x14:dataValidation type="list" allowBlank="1" showInputMessage="1" showErrorMessage="1" xr:uid="{DB8AF89C-62AD-4A82-895D-FDBAC09B3A54}">
          <x14:formula1>
            <xm:f>References!$K$4:$K$8</xm:f>
          </x14:formula1>
          <xm:sqref>D9</xm:sqref>
        </x14:dataValidation>
        <x14:dataValidation type="list" allowBlank="1" showInputMessage="1" showErrorMessage="1" xr:uid="{2C5346EC-ACA7-487E-81FE-BB81DA11148E}">
          <x14:formula1>
            <xm:f>References!$H$4:$H$12</xm:f>
          </x14:formula1>
          <xm:sqref>D14</xm:sqref>
        </x14:dataValidation>
        <x14:dataValidation type="list" allowBlank="1" showInputMessage="1" showErrorMessage="1" xr:uid="{0512AAC3-CA3C-4A24-9DBF-1B059D0FA23F}">
          <x14:formula1>
            <xm:f>References!$J$4:$J$12</xm:f>
          </x14:formula1>
          <xm:sqref>D15</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3D1053-1187-4D59-B7AA-0F9152EADFF2}">
  <dimension ref="A3:Z36"/>
  <sheetViews>
    <sheetView topLeftCell="G1" workbookViewId="0">
      <selection activeCell="K5" sqref="K5"/>
    </sheetView>
  </sheetViews>
  <sheetFormatPr defaultColWidth="8.75" defaultRowHeight="15.75" x14ac:dyDescent="0.25"/>
  <cols>
    <col min="1" max="1" width="23.25" customWidth="1"/>
    <col min="4" max="4" width="38.75" bestFit="1" customWidth="1"/>
    <col min="5" max="5" width="59.75" customWidth="1"/>
    <col min="6" max="6" width="32.75" customWidth="1"/>
    <col min="7" max="8" width="26.25" customWidth="1"/>
    <col min="9" max="10" width="35.25" customWidth="1"/>
    <col min="11" max="11" width="39.25" customWidth="1"/>
    <col min="12" max="12" width="10.75" customWidth="1"/>
    <col min="13" max="13" width="21.75" bestFit="1" customWidth="1"/>
    <col min="14" max="18" width="21.75" customWidth="1"/>
    <col min="19" max="19" width="19.75" bestFit="1" customWidth="1"/>
    <col min="20" max="20" width="19.75" customWidth="1"/>
    <col min="21" max="21" width="20.5" bestFit="1" customWidth="1"/>
    <col min="22" max="22" width="32.75" customWidth="1"/>
    <col min="23" max="23" width="42.25" bestFit="1" customWidth="1"/>
    <col min="24" max="24" width="14.75" bestFit="1" customWidth="1"/>
    <col min="25" max="25" width="46.25" bestFit="1" customWidth="1"/>
    <col min="26" max="26" width="22.25" customWidth="1"/>
  </cols>
  <sheetData>
    <row r="3" spans="1:26" ht="63" x14ac:dyDescent="0.25">
      <c r="A3" t="s">
        <v>109</v>
      </c>
      <c r="D3" s="4" t="s">
        <v>110</v>
      </c>
      <c r="E3" s="4" t="s">
        <v>111</v>
      </c>
      <c r="F3" s="4" t="s">
        <v>112</v>
      </c>
      <c r="G3" s="4" t="s">
        <v>113</v>
      </c>
      <c r="H3" s="4" t="s">
        <v>114</v>
      </c>
      <c r="I3" s="4" t="s">
        <v>115</v>
      </c>
      <c r="J3" s="4" t="s">
        <v>116</v>
      </c>
      <c r="K3" s="4" t="s">
        <v>20</v>
      </c>
      <c r="L3" s="4" t="s">
        <v>117</v>
      </c>
      <c r="M3" s="4" t="s">
        <v>118</v>
      </c>
      <c r="N3" s="4" t="s">
        <v>119</v>
      </c>
      <c r="O3" s="4" t="s">
        <v>120</v>
      </c>
      <c r="P3" s="4" t="s">
        <v>121</v>
      </c>
      <c r="Q3" s="4" t="s">
        <v>122</v>
      </c>
      <c r="R3" s="4" t="s">
        <v>123</v>
      </c>
      <c r="S3" s="4" t="s">
        <v>124</v>
      </c>
      <c r="T3" s="4" t="s">
        <v>125</v>
      </c>
      <c r="U3" s="4" t="s">
        <v>126</v>
      </c>
      <c r="V3" s="4" t="s">
        <v>127</v>
      </c>
      <c r="W3" s="4" t="s">
        <v>128</v>
      </c>
      <c r="X3" s="4" t="s">
        <v>129</v>
      </c>
      <c r="Y3" s="4" t="s">
        <v>130</v>
      </c>
      <c r="Z3" s="4" t="s">
        <v>131</v>
      </c>
    </row>
    <row r="4" spans="1:26" ht="31.5" x14ac:dyDescent="0.25">
      <c r="A4" t="s">
        <v>132</v>
      </c>
      <c r="D4" s="1" t="s">
        <v>133</v>
      </c>
      <c r="E4" s="1" t="s">
        <v>134</v>
      </c>
      <c r="F4" s="1" t="s">
        <v>135</v>
      </c>
      <c r="G4" s="22" t="s">
        <v>136</v>
      </c>
      <c r="H4" s="22" t="s">
        <v>137</v>
      </c>
      <c r="I4" s="22" t="s">
        <v>138</v>
      </c>
      <c r="J4" s="22" t="s">
        <v>139</v>
      </c>
      <c r="K4" s="1" t="s">
        <v>140</v>
      </c>
      <c r="L4" s="1" t="s">
        <v>67</v>
      </c>
      <c r="M4" s="1" t="s">
        <v>141</v>
      </c>
      <c r="N4" s="2" t="s">
        <v>62</v>
      </c>
      <c r="O4" s="2" t="s">
        <v>62</v>
      </c>
      <c r="P4" s="2" t="s">
        <v>62</v>
      </c>
      <c r="Q4" s="2" t="s">
        <v>142</v>
      </c>
      <c r="R4" s="2">
        <v>0</v>
      </c>
      <c r="S4" s="6" t="s">
        <v>143</v>
      </c>
      <c r="T4" s="2" t="s">
        <v>144</v>
      </c>
      <c r="U4" s="2" t="s">
        <v>65</v>
      </c>
      <c r="V4" s="2" t="s">
        <v>95</v>
      </c>
      <c r="W4" s="2" t="s">
        <v>145</v>
      </c>
      <c r="X4" s="2" t="s">
        <v>146</v>
      </c>
      <c r="Y4" s="2" t="s">
        <v>147</v>
      </c>
      <c r="Z4" s="2" t="s">
        <v>62</v>
      </c>
    </row>
    <row r="5" spans="1:26" ht="31.5" x14ac:dyDescent="0.25">
      <c r="D5" s="1" t="s">
        <v>148</v>
      </c>
      <c r="E5" s="1" t="s">
        <v>149</v>
      </c>
      <c r="F5" s="1" t="s">
        <v>150</v>
      </c>
      <c r="G5" s="22" t="s">
        <v>151</v>
      </c>
      <c r="H5" s="22" t="s">
        <v>152</v>
      </c>
      <c r="I5" s="22" t="s">
        <v>153</v>
      </c>
      <c r="J5" s="22" t="s">
        <v>154</v>
      </c>
      <c r="K5" s="1" t="s">
        <v>155</v>
      </c>
      <c r="L5" s="2" t="s">
        <v>84</v>
      </c>
      <c r="M5" s="2" t="s">
        <v>156</v>
      </c>
      <c r="N5" s="2" t="s">
        <v>67</v>
      </c>
      <c r="O5" s="2" t="s">
        <v>67</v>
      </c>
      <c r="P5" s="2" t="s">
        <v>67</v>
      </c>
      <c r="Q5" s="2" t="s">
        <v>157</v>
      </c>
      <c r="R5" s="2">
        <v>1</v>
      </c>
      <c r="S5" s="6" t="s">
        <v>8</v>
      </c>
      <c r="T5" s="2" t="s">
        <v>158</v>
      </c>
      <c r="U5" s="2" t="s">
        <v>159</v>
      </c>
      <c r="V5" s="2" t="s">
        <v>160</v>
      </c>
      <c r="W5" s="2" t="s">
        <v>96</v>
      </c>
      <c r="X5" s="2" t="s">
        <v>161</v>
      </c>
      <c r="Y5" s="2" t="s">
        <v>61</v>
      </c>
      <c r="Z5" s="2" t="s">
        <v>67</v>
      </c>
    </row>
    <row r="6" spans="1:26" ht="63" x14ac:dyDescent="0.25">
      <c r="D6" s="1" t="s">
        <v>162</v>
      </c>
      <c r="E6" s="1" t="s">
        <v>163</v>
      </c>
      <c r="F6" s="1" t="s">
        <v>164</v>
      </c>
      <c r="G6" s="21" t="s">
        <v>165</v>
      </c>
      <c r="H6" s="22" t="s">
        <v>166</v>
      </c>
      <c r="I6" s="22" t="s">
        <v>167</v>
      </c>
      <c r="J6" s="22" t="s">
        <v>168</v>
      </c>
      <c r="K6" s="1" t="s">
        <v>169</v>
      </c>
      <c r="L6" s="2" t="s">
        <v>10</v>
      </c>
      <c r="M6" s="2" t="s">
        <v>170</v>
      </c>
      <c r="N6" s="2" t="s">
        <v>171</v>
      </c>
      <c r="O6" s="21" t="s">
        <v>172</v>
      </c>
      <c r="P6" s="21" t="s">
        <v>173</v>
      </c>
      <c r="Q6" s="21" t="s">
        <v>174</v>
      </c>
      <c r="R6" s="2">
        <v>2</v>
      </c>
      <c r="S6" s="6" t="s">
        <v>52</v>
      </c>
      <c r="T6" s="2" t="s">
        <v>175</v>
      </c>
      <c r="U6" s="2" t="s">
        <v>176</v>
      </c>
      <c r="V6" s="2" t="s">
        <v>177</v>
      </c>
      <c r="W6" s="2" t="s">
        <v>178</v>
      </c>
      <c r="X6" s="2" t="s">
        <v>179</v>
      </c>
      <c r="Y6" s="2" t="s">
        <v>180</v>
      </c>
      <c r="Z6" s="2" t="s">
        <v>10</v>
      </c>
    </row>
    <row r="7" spans="1:26" ht="47.25" x14ac:dyDescent="0.25">
      <c r="D7" s="1" t="s">
        <v>181</v>
      </c>
      <c r="E7" s="1" t="s">
        <v>182</v>
      </c>
      <c r="F7" s="1" t="s">
        <v>183</v>
      </c>
      <c r="G7" s="2" t="s">
        <v>184</v>
      </c>
      <c r="H7" s="22" t="s">
        <v>185</v>
      </c>
      <c r="I7" s="22" t="s">
        <v>186</v>
      </c>
      <c r="J7" s="22" t="s">
        <v>187</v>
      </c>
      <c r="K7" s="1" t="s">
        <v>188</v>
      </c>
      <c r="L7" s="2" t="s">
        <v>62</v>
      </c>
      <c r="M7" s="2" t="s">
        <v>189</v>
      </c>
      <c r="N7" s="2" t="s">
        <v>190</v>
      </c>
      <c r="O7" s="2"/>
      <c r="P7" s="2"/>
      <c r="Q7" s="21" t="s">
        <v>191</v>
      </c>
      <c r="R7" s="2">
        <v>3</v>
      </c>
      <c r="S7" s="6" t="s">
        <v>55</v>
      </c>
      <c r="T7" s="2" t="s">
        <v>192</v>
      </c>
      <c r="U7" s="2" t="s">
        <v>193</v>
      </c>
      <c r="V7" s="2" t="s">
        <v>194</v>
      </c>
      <c r="W7" s="2" t="s">
        <v>195</v>
      </c>
      <c r="X7" s="2" t="s">
        <v>196</v>
      </c>
      <c r="Y7" s="2" t="s">
        <v>197</v>
      </c>
    </row>
    <row r="8" spans="1:26" ht="31.5" x14ac:dyDescent="0.25">
      <c r="D8" s="1" t="s">
        <v>198</v>
      </c>
      <c r="E8" s="1" t="s">
        <v>199</v>
      </c>
      <c r="F8" s="1" t="s">
        <v>200</v>
      </c>
      <c r="G8" s="2" t="s">
        <v>201</v>
      </c>
      <c r="H8" s="22" t="s">
        <v>202</v>
      </c>
      <c r="I8" s="2" t="s">
        <v>203</v>
      </c>
      <c r="J8" s="22" t="s">
        <v>204</v>
      </c>
      <c r="K8" s="2" t="s">
        <v>205</v>
      </c>
      <c r="L8" s="2" t="s">
        <v>206</v>
      </c>
      <c r="M8" s="2" t="s">
        <v>207</v>
      </c>
      <c r="N8" s="2"/>
      <c r="O8" s="2"/>
      <c r="P8" s="2"/>
      <c r="Q8" s="2" t="s">
        <v>208</v>
      </c>
      <c r="R8" s="2">
        <v>4</v>
      </c>
      <c r="S8" s="6" t="s">
        <v>209</v>
      </c>
      <c r="T8" s="2" t="s">
        <v>210</v>
      </c>
      <c r="U8" s="2" t="s">
        <v>211</v>
      </c>
      <c r="V8" s="2" t="s">
        <v>212</v>
      </c>
      <c r="W8" s="2" t="s">
        <v>213</v>
      </c>
      <c r="X8" s="2" t="s">
        <v>214</v>
      </c>
      <c r="Y8" s="2" t="s">
        <v>215</v>
      </c>
    </row>
    <row r="9" spans="1:26" ht="31.5" x14ac:dyDescent="0.25">
      <c r="D9" s="2" t="s">
        <v>216</v>
      </c>
      <c r="E9" s="1" t="s">
        <v>217</v>
      </c>
      <c r="F9" s="2" t="s">
        <v>79</v>
      </c>
      <c r="G9" s="2" t="s">
        <v>76</v>
      </c>
      <c r="H9" s="22" t="s">
        <v>218</v>
      </c>
      <c r="I9" s="2" t="s">
        <v>72</v>
      </c>
      <c r="J9" s="22" t="s">
        <v>219</v>
      </c>
      <c r="K9" s="2" t="s">
        <v>74</v>
      </c>
      <c r="L9" s="2"/>
      <c r="M9" s="2" t="s">
        <v>220</v>
      </c>
      <c r="N9" s="2"/>
      <c r="O9" s="2"/>
      <c r="P9" s="2"/>
      <c r="Q9" s="2"/>
      <c r="R9" s="2">
        <v>9</v>
      </c>
      <c r="S9" s="6" t="s">
        <v>221</v>
      </c>
      <c r="T9" s="2" t="s">
        <v>222</v>
      </c>
      <c r="U9" s="2" t="s">
        <v>223</v>
      </c>
      <c r="V9" s="2" t="s">
        <v>222</v>
      </c>
      <c r="X9" s="2" t="s">
        <v>224</v>
      </c>
      <c r="Y9" s="2" t="s">
        <v>225</v>
      </c>
    </row>
    <row r="10" spans="1:26" ht="31.5" x14ac:dyDescent="0.25">
      <c r="D10" s="2" t="s">
        <v>69</v>
      </c>
      <c r="E10" s="2" t="s">
        <v>226</v>
      </c>
      <c r="H10" s="21" t="s">
        <v>86</v>
      </c>
      <c r="I10" s="22"/>
      <c r="J10" s="22" t="s">
        <v>89</v>
      </c>
      <c r="L10" s="2"/>
      <c r="T10" s="2" t="s">
        <v>227</v>
      </c>
      <c r="U10" s="2" t="s">
        <v>228</v>
      </c>
      <c r="V10" s="2" t="s">
        <v>229</v>
      </c>
      <c r="X10" s="2" t="s">
        <v>230</v>
      </c>
      <c r="Y10" s="2" t="s">
        <v>231</v>
      </c>
    </row>
    <row r="11" spans="1:26" x14ac:dyDescent="0.25">
      <c r="E11" s="2" t="s">
        <v>82</v>
      </c>
      <c r="H11" s="21" t="s">
        <v>222</v>
      </c>
      <c r="I11" s="22"/>
      <c r="J11" s="22" t="s">
        <v>222</v>
      </c>
      <c r="T11" s="2" t="s">
        <v>10</v>
      </c>
      <c r="U11" s="2" t="s">
        <v>232</v>
      </c>
      <c r="X11" s="2" t="s">
        <v>233</v>
      </c>
      <c r="Y11" s="2" t="s">
        <v>234</v>
      </c>
    </row>
    <row r="12" spans="1:26" ht="31.5" x14ac:dyDescent="0.25">
      <c r="H12" s="21" t="s">
        <v>235</v>
      </c>
      <c r="J12" s="22" t="s">
        <v>236</v>
      </c>
      <c r="U12" s="2" t="s">
        <v>237</v>
      </c>
      <c r="X12" s="2" t="s">
        <v>238</v>
      </c>
      <c r="Y12" s="2" t="s">
        <v>239</v>
      </c>
    </row>
    <row r="13" spans="1:26" x14ac:dyDescent="0.25">
      <c r="U13" s="2" t="s">
        <v>240</v>
      </c>
      <c r="X13" s="2" t="s">
        <v>241</v>
      </c>
    </row>
    <row r="14" spans="1:26" x14ac:dyDescent="0.25">
      <c r="U14" s="2" t="s">
        <v>208</v>
      </c>
    </row>
    <row r="15" spans="1:26" x14ac:dyDescent="0.25">
      <c r="U15" s="2" t="s">
        <v>10</v>
      </c>
    </row>
    <row r="16" spans="1:26" x14ac:dyDescent="0.25">
      <c r="U16" s="2"/>
    </row>
    <row r="27" spans="4:19" ht="16.5" thickBot="1" x14ac:dyDescent="0.3">
      <c r="D27" s="10"/>
      <c r="E27" s="10"/>
      <c r="F27" s="10"/>
      <c r="G27" s="10"/>
      <c r="H27" s="10"/>
      <c r="I27" s="10"/>
      <c r="J27" s="10"/>
      <c r="K27" s="10"/>
      <c r="L27" s="10" t="s">
        <v>242</v>
      </c>
      <c r="M27" s="10" t="s">
        <v>243</v>
      </c>
      <c r="N27" s="10"/>
      <c r="O27" s="10"/>
      <c r="P27" s="10"/>
      <c r="Q27" s="10"/>
      <c r="R27" s="10"/>
      <c r="S27" s="11" t="s">
        <v>244</v>
      </c>
    </row>
    <row r="28" spans="4:19" x14ac:dyDescent="0.25">
      <c r="D28" s="7"/>
      <c r="E28" s="7"/>
      <c r="F28" s="7"/>
      <c r="G28" s="7"/>
      <c r="H28" s="7"/>
      <c r="I28" s="7"/>
      <c r="J28" s="7"/>
      <c r="K28" s="7"/>
      <c r="L28" s="17">
        <v>45161</v>
      </c>
      <c r="M28" s="7" t="s">
        <v>245</v>
      </c>
      <c r="N28" s="7"/>
      <c r="O28" s="7"/>
      <c r="P28" s="7"/>
      <c r="Q28" s="7"/>
      <c r="R28" s="7"/>
      <c r="S28" s="12" t="s">
        <v>246</v>
      </c>
    </row>
    <row r="29" spans="4:19" x14ac:dyDescent="0.25">
      <c r="D29" s="7"/>
      <c r="E29" s="7"/>
      <c r="F29" s="7"/>
      <c r="G29" s="7"/>
      <c r="H29" s="7"/>
      <c r="I29" s="7"/>
      <c r="J29" s="7"/>
      <c r="K29" s="7"/>
      <c r="L29" s="17">
        <v>45300</v>
      </c>
      <c r="M29" s="7" t="s">
        <v>245</v>
      </c>
      <c r="N29" s="7"/>
      <c r="O29" s="7"/>
      <c r="P29" s="7"/>
      <c r="Q29" s="7"/>
      <c r="R29" s="7"/>
      <c r="S29" s="12" t="s">
        <v>247</v>
      </c>
    </row>
    <row r="30" spans="4:19" x14ac:dyDescent="0.25">
      <c r="D30" s="9"/>
      <c r="E30" s="9"/>
      <c r="F30" s="9"/>
      <c r="G30" s="9"/>
      <c r="H30" s="9"/>
      <c r="I30" s="9"/>
      <c r="J30" s="9"/>
      <c r="K30" s="9"/>
      <c r="L30" s="18"/>
      <c r="M30" s="9"/>
      <c r="N30" s="9"/>
      <c r="O30" s="9"/>
      <c r="P30" s="9"/>
      <c r="Q30" s="9"/>
      <c r="R30" s="9"/>
      <c r="S30" s="13"/>
    </row>
    <row r="31" spans="4:19" x14ac:dyDescent="0.25">
      <c r="D31" s="8"/>
      <c r="E31" s="8"/>
      <c r="F31" s="8"/>
      <c r="G31" s="8"/>
      <c r="H31" s="8"/>
      <c r="I31" s="8"/>
      <c r="J31" s="8"/>
      <c r="K31" s="8"/>
      <c r="L31" s="19"/>
      <c r="M31" s="8"/>
      <c r="N31" s="8"/>
      <c r="O31" s="8"/>
      <c r="P31" s="8"/>
      <c r="Q31" s="8"/>
      <c r="R31" s="8"/>
      <c r="S31" s="14"/>
    </row>
    <row r="32" spans="4:19" x14ac:dyDescent="0.25">
      <c r="D32" s="9"/>
      <c r="E32" s="9"/>
      <c r="F32" s="9"/>
      <c r="G32" s="9"/>
      <c r="H32" s="9"/>
      <c r="I32" s="9"/>
      <c r="J32" s="9"/>
      <c r="K32" s="9"/>
      <c r="L32" s="18"/>
      <c r="M32" s="9"/>
      <c r="N32" s="9"/>
      <c r="O32" s="9"/>
      <c r="P32" s="9"/>
      <c r="Q32" s="9"/>
      <c r="R32" s="9"/>
      <c r="S32" s="13"/>
    </row>
    <row r="33" spans="4:19" x14ac:dyDescent="0.25">
      <c r="D33" s="8"/>
      <c r="E33" s="8"/>
      <c r="F33" s="8"/>
      <c r="G33" s="8"/>
      <c r="H33" s="8"/>
      <c r="I33" s="8"/>
      <c r="J33" s="8"/>
      <c r="K33" s="8"/>
      <c r="L33" s="19"/>
      <c r="M33" s="8"/>
      <c r="N33" s="8"/>
      <c r="O33" s="8"/>
      <c r="P33" s="8"/>
      <c r="Q33" s="8"/>
      <c r="R33" s="8"/>
      <c r="S33" s="14"/>
    </row>
    <row r="34" spans="4:19" x14ac:dyDescent="0.25">
      <c r="D34" s="9"/>
      <c r="E34" s="9"/>
      <c r="F34" s="9"/>
      <c r="G34" s="9"/>
      <c r="H34" s="9"/>
      <c r="I34" s="9"/>
      <c r="J34" s="9"/>
      <c r="K34" s="9"/>
      <c r="L34" s="18"/>
      <c r="M34" s="9"/>
      <c r="N34" s="9"/>
      <c r="O34" s="9"/>
      <c r="P34" s="9"/>
      <c r="Q34" s="9"/>
      <c r="R34" s="9"/>
      <c r="S34" s="13"/>
    </row>
    <row r="35" spans="4:19" x14ac:dyDescent="0.25">
      <c r="D35" s="8"/>
      <c r="E35" s="8"/>
      <c r="F35" s="8"/>
      <c r="G35" s="8"/>
      <c r="H35" s="8"/>
      <c r="I35" s="8"/>
      <c r="J35" s="8"/>
      <c r="K35" s="8"/>
      <c r="L35" s="19"/>
      <c r="M35" s="8"/>
      <c r="N35" s="8"/>
      <c r="O35" s="8"/>
      <c r="P35" s="8"/>
      <c r="Q35" s="8"/>
      <c r="R35" s="8"/>
      <c r="S35" s="14"/>
    </row>
    <row r="36" spans="4:19" x14ac:dyDescent="0.25">
      <c r="D36" s="15"/>
      <c r="E36" s="15"/>
      <c r="F36" s="15"/>
      <c r="G36" s="15"/>
      <c r="H36" s="15"/>
      <c r="I36" s="15"/>
      <c r="J36" s="15"/>
      <c r="K36" s="15"/>
      <c r="L36" s="20"/>
      <c r="M36" s="15"/>
      <c r="N36" s="15"/>
      <c r="O36" s="15"/>
      <c r="P36" s="15"/>
      <c r="Q36" s="15"/>
      <c r="R36" s="15"/>
      <c r="S36" s="16"/>
    </row>
  </sheetData>
  <sheetProtection algorithmName="SHA-512" hashValue="SiHm8VZUMw/Yfj4NMVNh3ttZhPRpIRJYKeWx4zhZA3l4XOdO4XDOZHEMSGj7409LAF3aB/uQxXgJgJ4MILgMNg==" saltValue="/0GjnFhJQms8oYN7dMxKOg==" spinCount="100000" sheet="1" objects="1" scenarios="1"/>
  <sortState xmlns:xlrd2="http://schemas.microsoft.com/office/spreadsheetml/2017/richdata2" ref="X4:X13">
    <sortCondition ref="X4:X13"/>
  </sortState>
  <phoneticPr fontId="7" type="noConversion"/>
  <pageMargins left="0.7" right="0.7" top="0.75" bottom="0.75" header="0.3" footer="0.3"/>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
</file>

<file path=customXml/item3.xml><?xml version="1.0" encoding="utf-8"?>
<ct:contentTypeSchema xmlns:ct="http://schemas.microsoft.com/office/2006/metadata/contentType" xmlns:ma="http://schemas.microsoft.com/office/2006/metadata/properties/metaAttributes" ct:_="" ma:_="" ma:contentTypeName="Document" ma:contentTypeID="0x0101006BDAF3E3634C144D9EC799C876E6F9A3" ma:contentTypeVersion="32" ma:contentTypeDescription="Create a new document." ma:contentTypeScope="" ma:versionID="60e1596b470e64c977d1e4ce9ac99787">
  <xsd:schema xmlns:xsd="http://www.w3.org/2001/XMLSchema" xmlns:xs="http://www.w3.org/2001/XMLSchema" xmlns:p="http://schemas.microsoft.com/office/2006/metadata/properties" xmlns:ns1="http://schemas.microsoft.com/sharepoint/v3" xmlns:ns2="7bc1719e-3073-4a83-a8aa-5d9b5543732c" xmlns:ns3="290f8d83-fd29-439e-ae91-cfcefa340f30" xmlns:ns4="bfe6e0b6-a5a6-435d-956e-8490d4b03c3e" targetNamespace="http://schemas.microsoft.com/office/2006/metadata/properties" ma:root="true" ma:fieldsID="2bba0ad704353081834050430544496a" ns1:_="" ns2:_="" ns3:_="" ns4:_="">
    <xsd:import namespace="http://schemas.microsoft.com/sharepoint/v3"/>
    <xsd:import namespace="7bc1719e-3073-4a83-a8aa-5d9b5543732c"/>
    <xsd:import namespace="290f8d83-fd29-439e-ae91-cfcefa340f30"/>
    <xsd:import namespace="bfe6e0b6-a5a6-435d-956e-8490d4b03c3e"/>
    <xsd:element name="properties">
      <xsd:complexType>
        <xsd:sequence>
          <xsd:element name="documentManagement">
            <xsd:complexType>
              <xsd:all>
                <xsd:element ref="ns2:MediaServiceMetadata" minOccurs="0"/>
                <xsd:element ref="ns2:MediaServiceFastMetadata" minOccurs="0"/>
                <xsd:element ref="ns2:MediaServiceAutoTags" minOccurs="0"/>
                <xsd:element ref="ns2:MediaServiceOCR" minOccurs="0"/>
                <xsd:element ref="ns2:MediaServiceGenerationTime" minOccurs="0"/>
                <xsd:element ref="ns2:MediaServiceEventHashCode" minOccurs="0"/>
                <xsd:element ref="ns3:SharedWithUsers" minOccurs="0"/>
                <xsd:element ref="ns3:SharedWithDetails" minOccurs="0"/>
                <xsd:element ref="ns1:_ip_UnifiedCompliancePolicyProperties" minOccurs="0"/>
                <xsd:element ref="ns1:_ip_UnifiedCompliancePolicyUIAction" minOccurs="0"/>
                <xsd:element ref="ns2:MediaServiceDateTaken" minOccurs="0"/>
                <xsd:element ref="ns2:MediaServiceAutoKeyPoints" minOccurs="0"/>
                <xsd:element ref="ns2:MediaServiceKeyPoints" minOccurs="0"/>
                <xsd:element ref="ns2:Model1" minOccurs="0"/>
                <xsd:element ref="ns2:Technology" minOccurs="0"/>
                <xsd:element ref="ns2:AppDomain" minOccurs="0"/>
                <xsd:element ref="ns2:Business_x0020_App" minOccurs="0"/>
                <xsd:element ref="ns2:Keyword" minOccurs="0"/>
                <xsd:element ref="ns2:Pattern" minOccurs="0"/>
                <xsd:element ref="ns2:lcf76f155ced4ddcb4097134ff3c332f" minOccurs="0"/>
                <xsd:element ref="ns4:TaxCatchAll" minOccurs="0"/>
                <xsd:element ref="ns2:MediaLengthInSeconds"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16" nillable="true" ma:displayName="Unified Compliance Policy Properties" ma:hidden="true" ma:internalName="_ip_UnifiedCompliancePolicyProperties">
      <xsd:simpleType>
        <xsd:restriction base="dms:Note"/>
      </xsd:simpleType>
    </xsd:element>
    <xsd:element name="_ip_UnifiedCompliancePolicyUIAction" ma:index="17" nillable="true" ma:displayName="Unified Compliance Policy UI Action"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7bc1719e-3073-4a83-a8aa-5d9b5543732c"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0" nillable="true" ma:displayName="Tags" ma:internalName="MediaServiceAutoTags" ma:readOnly="true">
      <xsd:simpleType>
        <xsd:restriction base="dms:Text"/>
      </xsd:simpleType>
    </xsd:element>
    <xsd:element name="MediaServiceOCR" ma:index="11" nillable="true" ma:displayName="Extracted Text" ma:internalName="MediaServiceOCR" ma:readOnly="true">
      <xsd:simpleType>
        <xsd:restriction base="dms:Note">
          <xsd:maxLength value="255"/>
        </xsd:restriction>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ServiceDateTaken" ma:index="18" nillable="true" ma:displayName="MediaServiceDateTaken" ma:hidden="true" ma:internalName="MediaServiceDateTaken" ma:readOnly="true">
      <xsd:simpleType>
        <xsd:restriction base="dms:Text"/>
      </xsd:simpleType>
    </xsd:element>
    <xsd:element name="MediaServiceAutoKeyPoints" ma:index="19" nillable="true" ma:displayName="MediaServiceAutoKeyPoints" ma:hidden="true" ma:internalName="MediaServiceAutoKeyPoints" ma:readOnly="true">
      <xsd:simpleType>
        <xsd:restriction base="dms:Note"/>
      </xsd:simpleType>
    </xsd:element>
    <xsd:element name="MediaServiceKeyPoints" ma:index="20" nillable="true" ma:displayName="KeyPoints" ma:internalName="MediaServiceKeyPoints" ma:readOnly="true">
      <xsd:simpleType>
        <xsd:restriction base="dms:Note">
          <xsd:maxLength value="255"/>
        </xsd:restriction>
      </xsd:simpleType>
    </xsd:element>
    <xsd:element name="Model1" ma:index="21" nillable="true" ma:displayName="Hosting" ma:description="Operational Hosting Model of the Solution" ma:format="Dropdown" ma:internalName="Model1">
      <xsd:simpleType>
        <xsd:restriction base="dms:Choice">
          <xsd:enumeration value="IAAS"/>
          <xsd:enumeration value="PAAS"/>
          <xsd:enumeration value="SAAS"/>
          <xsd:enumeration value="DAAS"/>
          <xsd:enumeration value="AWS"/>
          <xsd:enumeration value="AZURE"/>
          <xsd:enumeration value="GCP"/>
          <xsd:enumeration value="THIRD PARTY"/>
          <xsd:enumeration value="DC"/>
          <xsd:enumeration value="HYBRID"/>
        </xsd:restriction>
      </xsd:simpleType>
    </xsd:element>
    <xsd:element name="Technology" ma:index="22" nillable="true" ma:displayName="Service" ma:description="Architecture or Technology Stack or GTS Service Area" ma:format="Dropdown" ma:internalName="Technology">
      <xsd:simpleType>
        <xsd:union memberTypes="dms:Text">
          <xsd:simpleType>
            <xsd:restriction base="dms:Choice">
              <xsd:enumeration value="SSO"/>
              <xsd:enumeration value="AD"/>
              <xsd:enumeration value="Security"/>
              <xsd:enumeration value="Storage"/>
              <xsd:enumeration value="Container"/>
              <xsd:enumeration value="Windows"/>
              <xsd:enumeration value="Appliance"/>
              <xsd:enumeration value="SQL"/>
              <xsd:enumeration value="MySQL"/>
              <xsd:enumeration value="DB2"/>
              <xsd:enumeration value="ORACLE"/>
              <xsd:enumeration value="Apple"/>
              <xsd:enumeration value="Citrix"/>
              <xsd:enumeration value="VDI"/>
              <xsd:enumeration value="Workspace"/>
              <xsd:enumeration value="O365"/>
              <xsd:enumeration value="Data Lake"/>
              <xsd:enumeration value="Ecosysyem"/>
              <xsd:enumeration value="Network"/>
              <xsd:enumeration value="RA"/>
              <xsd:enumeration value="MQ"/>
              <xsd:enumeration value="SFTP"/>
              <xsd:enumeration value="ISAM"/>
              <xsd:enumeration value="TEL"/>
              <xsd:enumeration value="Service"/>
              <xsd:enumeration value="Application"/>
              <xsd:enumeration value="Development"/>
              <xsd:enumeration value="Plugin"/>
              <xsd:enumeration value="Risk"/>
              <xsd:enumeration value="ITSM"/>
              <xsd:enumeration value="Messaging"/>
              <xsd:enumeration value="Jira"/>
              <xsd:enumeration value="Migration"/>
              <xsd:enumeration value="VPN"/>
              <xsd:enumeration value="PING"/>
              <xsd:enumeration value="OKTA"/>
              <xsd:enumeration value="Web"/>
              <xsd:enumeration value="Social"/>
              <xsd:enumeration value="Chat"/>
              <xsd:enumeration value="Phone"/>
              <xsd:enumeration value="SMS"/>
              <xsd:enumeration value="Video"/>
              <xsd:enumeration value="DR"/>
              <xsd:enumeration value="DLP"/>
              <xsd:enumeration value="CICD"/>
              <xsd:enumeration value="ETL"/>
              <xsd:enumeration value="Compute"/>
              <xsd:enumeration value="Classification"/>
              <xsd:enumeration value="Data"/>
              <xsd:enumeration value="End Point"/>
              <xsd:enumeration value="API"/>
              <xsd:enumeration value="Search"/>
              <xsd:enumeration value="Data Gateway"/>
              <xsd:enumeration value="Mobile"/>
              <xsd:enumeration value="M365"/>
              <xsd:enumeration value="D365"/>
              <xsd:enumeration value="Docker"/>
              <xsd:enumeration value="DNS"/>
              <xsd:enumeration value="LMS"/>
              <xsd:enumeration value="SMTP"/>
              <xsd:enumeration value="LDAP"/>
              <xsd:enumeration value="SIEM"/>
              <xsd:enumeration value="OVA"/>
              <xsd:enumeration value="Identity"/>
              <xsd:enumeration value="Data Protection"/>
              <xsd:enumeration value="ITAM"/>
              <xsd:enumeration value="Cyber Security"/>
            </xsd:restriction>
          </xsd:simpleType>
        </xsd:union>
      </xsd:simpleType>
    </xsd:element>
    <xsd:element name="AppDomain" ma:index="23" nillable="true" ma:displayName="Application" ma:description="Application Area" ma:format="Dropdown" ma:internalName="AppDomain">
      <xsd:simpleType>
        <xsd:restriction base="dms:Choice">
          <xsd:enumeration value="WFM"/>
          <xsd:enumeration value="DMS"/>
          <xsd:enumeration value="CMS"/>
          <xsd:enumeration value="COL"/>
          <xsd:enumeration value="SNOW"/>
          <xsd:enumeration value="LOG"/>
          <xsd:enumeration value="MON"/>
          <xsd:enumeration value="DBA"/>
          <xsd:enumeration value="APM"/>
          <xsd:enumeration value="AM"/>
          <xsd:enumeration value="DLP"/>
          <xsd:enumeration value="SECRETS"/>
          <xsd:enumeration value="PAM"/>
          <xsd:enumeration value="ROB"/>
          <xsd:enumeration value="WEB"/>
          <xsd:enumeration value="SCH"/>
          <xsd:enumeration value="O365"/>
          <xsd:enumeration value="PBI"/>
          <xsd:enumeration value="TEL"/>
          <xsd:enumeration value="AI"/>
          <xsd:enumeration value="FIN"/>
          <xsd:enumeration value="CLD"/>
          <xsd:enumeration value="RA"/>
          <xsd:enumeration value="REF"/>
          <xsd:enumeration value="PS"/>
          <xsd:enumeration value="NET"/>
          <xsd:enumeration value="LIC"/>
          <xsd:enumeration value="RPA"/>
          <xsd:enumeration value="LMS"/>
          <xsd:enumeration value="ERM"/>
          <xsd:enumeration value="ESign"/>
          <xsd:enumeration value="DIR"/>
          <xsd:enumeration value="CRM"/>
          <xsd:enumeration value="DNS"/>
          <xsd:enumeration value="WRK"/>
          <xsd:enumeration value="ANA"/>
          <xsd:enumeration value="CICD"/>
          <xsd:enumeration value="DVM"/>
          <xsd:enumeration value="SFTP"/>
          <xsd:enumeration value="ML"/>
        </xsd:restriction>
      </xsd:simpleType>
    </xsd:element>
    <xsd:element name="Business_x0020_App" ma:index="24" nillable="true" ma:displayName="Domain" ma:default="Unknown" ma:description="Short description of business function, used for seach function" ma:format="Dropdown" ma:internalName="Business_x0020_App">
      <xsd:simpleType>
        <xsd:union memberTypes="dms:Text">
          <xsd:simpleType>
            <xsd:restriction base="dms:Choice">
              <xsd:enumeration value="Pension Calculation"/>
              <xsd:enumeration value="Actuarial"/>
              <xsd:enumeration value="Unknown"/>
              <xsd:enumeration value="Legal"/>
              <xsd:enumeration value="Finance"/>
              <xsd:enumeration value="Mortgages"/>
              <xsd:enumeration value="Funds"/>
              <xsd:enumeration value="Health"/>
              <xsd:enumeration value="Advice"/>
              <xsd:enumeration value="Other"/>
              <xsd:enumeration value="Non-Life"/>
              <xsd:enumeration value="Life"/>
              <xsd:enumeration value="Loan Services"/>
              <xsd:enumeration value="Facilities"/>
              <xsd:enumeration value="Fraud"/>
              <xsd:enumeration value="Global"/>
              <xsd:enumeration value="Assets Management"/>
              <xsd:enumeration value="Service Management"/>
              <xsd:enumeration value="Workplace"/>
              <xsd:enumeration value="Investment Management"/>
              <xsd:enumeration value="Bank"/>
              <xsd:enumeration value="Risk"/>
              <xsd:enumeration value="Security"/>
              <xsd:enumeration value="Sales"/>
              <xsd:enumeration value="External"/>
              <xsd:enumeration value="SIEM"/>
              <xsd:enumeration value="Call Center"/>
              <xsd:enumeration value="Human Resource"/>
              <xsd:enumeration value="Pension"/>
            </xsd:restriction>
          </xsd:simpleType>
        </xsd:union>
      </xsd:simpleType>
    </xsd:element>
    <xsd:element name="Keyword" ma:index="25" nillable="true" ma:displayName="Keyword" ma:description="Unique keyword for search usage" ma:format="Dropdown" ma:internalName="Keyword">
      <xsd:simpleType>
        <xsd:union memberTypes="dms:Text">
          <xsd:simpleType>
            <xsd:restriction base="dms:Choice">
              <xsd:enumeration value="Unknown"/>
            </xsd:restriction>
          </xsd:simpleType>
        </xsd:union>
      </xsd:simpleType>
    </xsd:element>
    <xsd:element name="Pattern" ma:index="26" nillable="true" ma:displayName="Pattern" ma:description="Approved or know pattern" ma:format="Dropdown" ma:internalName="Pattern">
      <xsd:simpleType>
        <xsd:restriction base="dms:Choice">
          <xsd:enumeration value="iChannel"/>
          <xsd:enumeration value="ISAM"/>
          <xsd:enumeration value="B2B"/>
          <xsd:enumeration value="B2C"/>
          <xsd:enumeration value="Hosting"/>
          <xsd:enumeration value="Browsing"/>
          <xsd:enumeration value="EKS"/>
          <xsd:enumeration value="SSO"/>
          <xsd:enumeration value="Inter VPC"/>
          <xsd:enumeration value="AWS to DC"/>
          <xsd:enumeration value="AWS Region"/>
          <xsd:enumeration value="ClamAV"/>
          <xsd:enumeration value="VPC"/>
          <xsd:enumeration value="ServiceNow"/>
          <xsd:enumeration value="Salesforce"/>
          <xsd:enumeration value="Third Party Access"/>
          <xsd:enumeration value="Ping"/>
          <xsd:enumeration value="WAF"/>
          <xsd:enumeration value="Mobile"/>
          <xsd:enumeration value="API"/>
          <xsd:enumeration value="Data Lake"/>
        </xsd:restriction>
      </xsd:simpleType>
    </xsd:element>
    <xsd:element name="lcf76f155ced4ddcb4097134ff3c332f" ma:index="28" nillable="true" ma:taxonomy="true" ma:internalName="lcf76f155ced4ddcb4097134ff3c332f" ma:taxonomyFieldName="MediaServiceImageTags" ma:displayName="Image Tags" ma:readOnly="false" ma:fieldId="{5cf76f15-5ced-4ddc-b409-7134ff3c332f}" ma:taxonomyMulti="true" ma:sspId="33ecf46e-890a-4d8f-8227-d99d79ddb869" ma:termSetId="09814cd3-568e-fe90-9814-8d621ff8fb84" ma:anchorId="fba54fb3-c3e1-fe81-a776-ca4b69148c4d" ma:open="true" ma:isKeyword="false">
      <xsd:complexType>
        <xsd:sequence>
          <xsd:element ref="pc:Terms" minOccurs="0" maxOccurs="1"/>
        </xsd:sequence>
      </xsd:complexType>
    </xsd:element>
    <xsd:element name="MediaLengthInSeconds" ma:index="30" nillable="true" ma:displayName="MediaLengthInSeconds" ma:hidden="true" ma:internalName="MediaLengthInSeconds" ma:readOnly="true">
      <xsd:simpleType>
        <xsd:restriction base="dms:Unknown"/>
      </xsd:simpleType>
    </xsd:element>
    <xsd:element name="MediaServiceObjectDetectorVersions" ma:index="31" nillable="true" ma:displayName="MediaServiceObjectDetectorVersions" ma:description="" ma:hidden="true" ma:indexed="true" ma:internalName="MediaServiceObjectDetectorVersions" ma:readOnly="true">
      <xsd:simpleType>
        <xsd:restriction base="dms:Text"/>
      </xsd:simpleType>
    </xsd:element>
    <xsd:element name="MediaServiceSearchProperties" ma:index="32"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290f8d83-fd29-439e-ae91-cfcefa340f30" elementFormDefault="qualified">
    <xsd:import namespace="http://schemas.microsoft.com/office/2006/documentManagement/types"/>
    <xsd:import namespace="http://schemas.microsoft.com/office/infopath/2007/PartnerControls"/>
    <xsd:element name="SharedWithUsers" ma:index="14"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5" nillable="true" ma:displayName="Shared With Details" ma:internalName="SharedWithDetail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bfe6e0b6-a5a6-435d-956e-8490d4b03c3e" elementFormDefault="qualified">
    <xsd:import namespace="http://schemas.microsoft.com/office/2006/documentManagement/types"/>
    <xsd:import namespace="http://schemas.microsoft.com/office/infopath/2007/PartnerControls"/>
    <xsd:element name="TaxCatchAll" ma:index="29" nillable="true" ma:displayName="Taxonomy Catch All Column" ma:hidden="true" ma:list="{d1e4a496-b8a4-4beb-a473-f4a6df7ad317}" ma:internalName="TaxCatchAll" ma:showField="CatchAllData" ma:web="290f8d83-fd29-439e-ae91-cfcefa340f30">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4.xml><?xml version="1.0" encoding="utf-8"?>
<p:properties xmlns:p="http://schemas.microsoft.com/office/2006/metadata/properties" xmlns:xsi="http://www.w3.org/2001/XMLSchema-instance" xmlns:pc="http://schemas.microsoft.com/office/infopath/2007/PartnerControls">
  <documentManagement>
    <SharedWithUsers xmlns="290f8d83-fd29-439e-ae91-cfcefa340f30">
      <UserInfo>
        <DisplayName>Smith, Aaron</DisplayName>
        <AccountId>1127</AccountId>
        <AccountType/>
      </UserInfo>
    </SharedWithUsers>
    <Keyword xmlns="7bc1719e-3073-4a83-a8aa-5d9b5543732c" xsi:nil="true"/>
    <_ip_UnifiedCompliancePolicyUIAction xmlns="http://schemas.microsoft.com/sharepoint/v3" xsi:nil="true"/>
    <AppDomain xmlns="7bc1719e-3073-4a83-a8aa-5d9b5543732c" xsi:nil="true"/>
    <lcf76f155ced4ddcb4097134ff3c332f xmlns="7bc1719e-3073-4a83-a8aa-5d9b5543732c">
      <Terms xmlns="http://schemas.microsoft.com/office/infopath/2007/PartnerControls"/>
    </lcf76f155ced4ddcb4097134ff3c332f>
    <Technology xmlns="7bc1719e-3073-4a83-a8aa-5d9b5543732c" xsi:nil="true"/>
    <TaxCatchAll xmlns="bfe6e0b6-a5a6-435d-956e-8490d4b03c3e" xsi:nil="true"/>
    <Model1 xmlns="7bc1719e-3073-4a83-a8aa-5d9b5543732c" xsi:nil="true"/>
    <_ip_UnifiedCompliancePolicyProperties xmlns="http://schemas.microsoft.com/sharepoint/v3" xsi:nil="true"/>
    <Pattern xmlns="7bc1719e-3073-4a83-a8aa-5d9b5543732c" xsi:nil="true"/>
    <Business_x0020_App xmlns="7bc1719e-3073-4a83-a8aa-5d9b5543732c">Unknown</Business_x0020_App>
  </documentManagement>
</p:properties>
</file>

<file path=customXml/itemProps1.xml><?xml version="1.0" encoding="utf-8"?>
<ds:datastoreItem xmlns:ds="http://schemas.openxmlformats.org/officeDocument/2006/customXml" ds:itemID="{00BCD2B8-D6BF-4D0F-8892-8D86AFE1EC57}">
  <ds:schemaRefs>
    <ds:schemaRef ds:uri="http://schemas.microsoft.com/sharepoint/v3/contenttype/forms"/>
  </ds:schemaRefs>
</ds:datastoreItem>
</file>

<file path=customXml/itemProps2.xml><?xml version="1.0" encoding="utf-8"?>
<ds:datastoreItem xmlns:ds="http://schemas.openxmlformats.org/officeDocument/2006/customXml" ds:itemID="{E3C52381-827C-4FE8-8F28-947FE54D4437}">
  <ds:schemaRefs>
    <ds:schemaRef ds:uri="http://schemas.microsoft.com/DataMashup"/>
  </ds:schemaRefs>
</ds:datastoreItem>
</file>

<file path=customXml/itemProps3.xml><?xml version="1.0" encoding="utf-8"?>
<ds:datastoreItem xmlns:ds="http://schemas.openxmlformats.org/officeDocument/2006/customXml" ds:itemID="{0B34E6FA-1205-4CAD-8DDC-112FAF917898}">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7bc1719e-3073-4a83-a8aa-5d9b5543732c"/>
    <ds:schemaRef ds:uri="290f8d83-fd29-439e-ae91-cfcefa340f30"/>
    <ds:schemaRef ds:uri="bfe6e0b6-a5a6-435d-956e-8490d4b03c3e"/>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4.xml><?xml version="1.0" encoding="utf-8"?>
<ds:datastoreItem xmlns:ds="http://schemas.openxmlformats.org/officeDocument/2006/customXml" ds:itemID="{A353E1DD-8234-476E-AEEE-F356B7F677F6}">
  <ds:schemaRefs>
    <ds:schemaRef ds:uri="http://purl.org/dc/terms/"/>
    <ds:schemaRef ds:uri="http://purl.org/dc/dcmitype/"/>
    <ds:schemaRef ds:uri="http://schemas.microsoft.com/office/2006/documentManagement/types"/>
    <ds:schemaRef ds:uri="http://schemas.openxmlformats.org/package/2006/metadata/core-properties"/>
    <ds:schemaRef ds:uri="http://purl.org/dc/elements/1.1/"/>
    <ds:schemaRef ds:uri="290f8d83-fd29-439e-ae91-cfcefa340f30"/>
    <ds:schemaRef ds:uri="http://schemas.microsoft.com/sharepoint/v3"/>
    <ds:schemaRef ds:uri="http://schemas.microsoft.com/office/infopath/2007/PartnerControls"/>
    <ds:schemaRef ds:uri="http://schemas.microsoft.com/office/2006/metadata/properties"/>
    <ds:schemaRef ds:uri="bfe6e0b6-a5a6-435d-956e-8490d4b03c3e"/>
    <ds:schemaRef ds:uri="7bc1719e-3073-4a83-a8aa-5d9b5543732c"/>
    <ds:schemaRef ds:uri="http://www.w3.org/XML/1998/namespace"/>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5</vt:i4>
      </vt:variant>
    </vt:vector>
  </HeadingPairs>
  <TitlesOfParts>
    <vt:vector size="8" baseType="lpstr">
      <vt:lpstr>Arch Alignment to Standandards</vt:lpstr>
      <vt:lpstr>Score Card-Patterns Futue State</vt:lpstr>
      <vt:lpstr>References</vt:lpstr>
      <vt:lpstr>Answers</vt:lpstr>
      <vt:lpstr>Criteria</vt:lpstr>
      <vt:lpstr>Gateways</vt:lpstr>
      <vt:lpstr>'Arch Alignment to Standandards'!Score</vt:lpstr>
      <vt:lpstr>'Score Card-Patterns Futue State'!Score</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Microsoft Office User</dc:creator>
  <cp:keywords/>
  <dc:description/>
  <cp:lastModifiedBy>Kerbachi, Mohamed - GTS Global ENG &amp; ARCH</cp:lastModifiedBy>
  <cp:revision/>
  <dcterms:created xsi:type="dcterms:W3CDTF">2023-08-10T08:14:23Z</dcterms:created>
  <dcterms:modified xsi:type="dcterms:W3CDTF">2025-06-30T18:51:42Z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0x0101006BDAF3E3634C144D9EC799C876E6F9A3</vt:lpwstr>
  </property>
  <property fmtid="{D5CDD505-2E9C-101B-9397-08002B2CF9AE}" pid="3" name="MediaServiceImageTags">
    <vt:lpwstr/>
  </property>
  <property fmtid="{D5CDD505-2E9C-101B-9397-08002B2CF9AE}" pid="4" name="Order">
    <vt:r8>884900</vt:r8>
  </property>
  <property fmtid="{D5CDD505-2E9C-101B-9397-08002B2CF9AE}" pid="5" name="xd_Signature">
    <vt:bool>false</vt:bool>
  </property>
  <property fmtid="{D5CDD505-2E9C-101B-9397-08002B2CF9AE}" pid="6" name="xd_ProgID">
    <vt:lpwstr/>
  </property>
  <property fmtid="{D5CDD505-2E9C-101B-9397-08002B2CF9AE}" pid="7" name="ComplianceAssetId">
    <vt:lpwstr/>
  </property>
  <property fmtid="{D5CDD505-2E9C-101B-9397-08002B2CF9AE}" pid="8" name="TemplateUrl">
    <vt:lpwstr/>
  </property>
  <property fmtid="{D5CDD505-2E9C-101B-9397-08002B2CF9AE}" pid="9" name="_ExtendedDescription">
    <vt:lpwstr/>
  </property>
  <property fmtid="{D5CDD505-2E9C-101B-9397-08002B2CF9AE}" pid="10" name="TriggerFlowInfo">
    <vt:lpwstr/>
  </property>
</Properties>
</file>