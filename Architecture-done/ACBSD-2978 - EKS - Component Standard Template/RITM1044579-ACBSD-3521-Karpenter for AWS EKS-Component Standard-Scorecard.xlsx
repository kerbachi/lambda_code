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gonna-my.sharepoint.com/personal/mohamed_kerbachi_transamerica_com/Documents/Documents/ACBSD-2978 - EKS - Component Standard Template/"/>
    </mc:Choice>
  </mc:AlternateContent>
  <xr:revisionPtr revIDLastSave="10" documentId="13_ncr:1_{E8497309-C9C0-4344-80E0-97ED18BD796A}" xr6:coauthVersionLast="47" xr6:coauthVersionMax="47" xr10:uidLastSave="{ED4BC1DF-2975-4F4B-865D-25775D69109E}"/>
  <bookViews>
    <workbookView xWindow="13185" yWindow="855" windowWidth="28680" windowHeight="16740" activeTab="1" xr2:uid="{5772EEC2-3782-8A48-AB2E-7C685ED1583E}"/>
  </bookViews>
  <sheets>
    <sheet name="Change Log" sheetId="13" r:id="rId1"/>
    <sheet name="Arch Alignment to Standandards" sheetId="11" r:id="rId2"/>
    <sheet name="Pre-Post ARB Checklist" sheetId="12" r:id="rId3"/>
    <sheet name="Score Card-Patterns Futue State" sheetId="10" state="hidden" r:id="rId4"/>
    <sheet name="References" sheetId="8" state="hidden" r:id="rId5"/>
  </sheets>
  <definedNames>
    <definedName name="_xlnm._FilterDatabase" localSheetId="1" hidden="1">'Arch Alignment to Standandards'!$A$2:$G$23</definedName>
    <definedName name="_xlnm._FilterDatabase" localSheetId="3" hidden="1">'Score Card-Patterns Futue State'!$A$1:$G$29</definedName>
    <definedName name="Answers">References!$L$4:$L$7</definedName>
    <definedName name="Category" localSheetId="1">'Arch Alignment to Standandards'!#REF!</definedName>
    <definedName name="Category" localSheetId="3">'Score Card-Patterns Futue State'!#REF!</definedName>
    <definedName name="Category">#REF!</definedName>
    <definedName name="_xlnm.Criteria">References!$S$4:$S$7</definedName>
    <definedName name="Exception_Expiry" localSheetId="1">'Arch Alignment to Standandards'!#REF!</definedName>
    <definedName name="Exception_Expiry" localSheetId="3">'Score Card-Patterns Futue State'!#REF!</definedName>
    <definedName name="Exception_Expiry">#REF!</definedName>
    <definedName name="Exception_Granted" localSheetId="1">'Arch Alignment to Standandards'!#REF!</definedName>
    <definedName name="Exception_Granted" localSheetId="3">'Score Card-Patterns Futue State'!#REF!</definedName>
    <definedName name="Exception_Granted">#REF!</definedName>
    <definedName name="Gateways">References!$M$4:$M$9</definedName>
    <definedName name="Score" localSheetId="1">'Arch Alignment to Standandards'!$E$5:$E$1048576</definedName>
    <definedName name="Score" localSheetId="3">'Score Card-Patterns Futue State'!$E$4:$E$1048576</definedName>
    <definedName name="Score">#REF!</definedName>
    <definedName name="Version">References!#REF!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1" l="1"/>
  <c r="E26" i="11"/>
  <c r="E23" i="11"/>
  <c r="E24" i="11"/>
  <c r="E25" i="11"/>
  <c r="E10" i="11"/>
  <c r="E29" i="11"/>
  <c r="E21" i="11"/>
  <c r="E5" i="11"/>
  <c r="E19" i="11"/>
  <c r="E31" i="10"/>
  <c r="E5" i="10" l="1"/>
  <c r="E6" i="11"/>
  <c r="E16" i="11"/>
  <c r="E15" i="11"/>
  <c r="E13" i="11"/>
  <c r="E11" i="11"/>
  <c r="E12" i="11"/>
  <c r="E9" i="11"/>
  <c r="E8" i="11"/>
  <c r="E30" i="11"/>
  <c r="E22" i="11"/>
  <c r="E28" i="11"/>
  <c r="E27" i="11"/>
  <c r="E20" i="11"/>
  <c r="E7" i="11"/>
  <c r="E17" i="11"/>
  <c r="E14" i="11"/>
  <c r="E4" i="11"/>
  <c r="E4" i="10"/>
  <c r="E23" i="10"/>
  <c r="E24" i="10"/>
  <c r="E28" i="10"/>
  <c r="E26" i="10"/>
  <c r="E25" i="10"/>
  <c r="E15" i="10"/>
  <c r="E22" i="10"/>
  <c r="E19" i="10"/>
  <c r="E14" i="10"/>
  <c r="E6" i="10"/>
  <c r="E27" i="10"/>
  <c r="E17" i="10"/>
  <c r="E16" i="10"/>
  <c r="E13" i="10"/>
  <c r="E3" i="10"/>
  <c r="E29" i="10"/>
  <c r="E18" i="10"/>
  <c r="E7" i="10"/>
  <c r="E8" i="10"/>
  <c r="E21" i="10"/>
  <c r="E9" i="10"/>
  <c r="E12" i="10"/>
  <c r="E20" i="10"/>
  <c r="E11" i="10"/>
  <c r="E10" i="10"/>
  <c r="E1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tc={90028B18-44D2-4204-9ED5-622CF192F4E6}</author>
  </authors>
  <commentList>
    <comment ref="C2" authorId="0" shapeId="0" xr:uid="{90028B18-44D2-4204-9ED5-622CF192F4E6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General Question to add. 
Are the documents in the standard templates and diagrams following ArchiMate?</t>
      </text>
    </comment>
  </commentList>
</comments>
</file>

<file path=xl/sharedStrings.xml><?xml version="1.0" encoding="utf-8"?>
<sst xmlns="http://schemas.openxmlformats.org/spreadsheetml/2006/main" count="449" uniqueCount="295">
  <si>
    <t>Architecture Alignment to Standards:</t>
  </si>
  <si>
    <t>Category</t>
  </si>
  <si>
    <t>Review Group</t>
  </si>
  <si>
    <t>Question</t>
  </si>
  <si>
    <t>Answer</t>
  </si>
  <si>
    <t>Architecture Standards &amp; Policies Alignment Score</t>
  </si>
  <si>
    <t>Where to find more information to be able to answer this question or complete the activity for being able to answer the question</t>
  </si>
  <si>
    <t>Architecture</t>
  </si>
  <si>
    <t>What is the type of archtiecture review board approval requested?</t>
  </si>
  <si>
    <t>N/A</t>
  </si>
  <si>
    <t>Has the architecture been peer reviewed and has all feedback been addressed to the reviewers' satisfaction?</t>
  </si>
  <si>
    <t>Will the solution be deployed to an approved environment (Physical DataCenter, AWS, Azure, SaaS, PaaS)?</t>
  </si>
  <si>
    <t>What region is the solution hosted in?</t>
  </si>
  <si>
    <t>CMDB Link</t>
  </si>
  <si>
    <t>Are observability, monitoring, and logging requirements defined and accounted for within the solution design and architecture?</t>
  </si>
  <si>
    <t>Are fault tolerance and resiliency requirements defined and accounted for within the solution design and architecture (high availability, failover, redundancy, scalability)?</t>
  </si>
  <si>
    <t>What is the Availability Objective for the solution?</t>
  </si>
  <si>
    <t>Availability Objectives</t>
  </si>
  <si>
    <t>Is the solution architecture aligned with disaster recovery requirements for the solution?</t>
  </si>
  <si>
    <t>Is the solution architecture aligned with backup/recovery requirements for the solution?</t>
  </si>
  <si>
    <t>Is the deployment pattern for the solution documented within the solution architecture?</t>
  </si>
  <si>
    <t>Is the solution aligned with GTS Enterprise Architecture Principles?</t>
  </si>
  <si>
    <t>GTS Architecture Principles</t>
  </si>
  <si>
    <t>If the solution interfaces with an application or exchanges data with an application that is a non-Aegon entity, are the  approved pattern(s) for third party integration documented within the solution architecture?</t>
  </si>
  <si>
    <t>GTS Architecture Repository - https://aegonna.sharepoint.com/sites/GEA/SitePages/Architecture-Documents.aspx
Global Architecture Repository - https://aegonna.sharepoint.com/sites/GTS-GlobalARB/SitePages/Global-Architecture-Repository.aspx</t>
  </si>
  <si>
    <t>CSAT</t>
  </si>
  <si>
    <t xml:space="preserve">If this is a Project Solution - Final ARB, does the solution use approved machine / container images? </t>
  </si>
  <si>
    <t>GEA Review Board, Pre-ARB???</t>
  </si>
  <si>
    <t>If this is a Project Solution - Final ARB, are component standards, architecture design patterns, and reference architectures utilized by the solution in the GTS or Global architecture repository?</t>
  </si>
  <si>
    <t>Has the solution passed the BU Architecture Board review?</t>
  </si>
  <si>
    <t>Within the ARB presentation, is the Impacted Technology Components table populated, including CMDB IDs for all technology components currently in production?</t>
  </si>
  <si>
    <t>If the solution is dependent on identity, what is the identity management / identity provider utilized by the solution?</t>
  </si>
  <si>
    <t>What Secrets Vault is used for secrets management?</t>
  </si>
  <si>
    <t>Compliance &amp; Risk</t>
  </si>
  <si>
    <t>Does this technology solution require a Technology Risk Assessment (TRA) and is the TRA complete?</t>
  </si>
  <si>
    <t>Link to Technology Risk Assessment Sharepoint Site</t>
  </si>
  <si>
    <t>If this is a Final ARB, is GTS Internal Controls &amp; Compliance sign off / approval attached to GTS ARB agenda request?</t>
  </si>
  <si>
    <t>Data Privacy</t>
  </si>
  <si>
    <t>Data Governance</t>
  </si>
  <si>
    <t>To initiate this request, contact Adam Kaminsky</t>
  </si>
  <si>
    <t xml:space="preserve">Refer to the ITCF Framework and ICTF P04.01.02 Information Security Classification Standard for guidance on data classification the controls for processing, storing and transmitting data.
- ITCF Framework: 
https://aegonna.sharepoint.com/sites/GTS-ICC/Intranet/ITCF/Shared%20Documents/Aegon%20Global%20IT%20Control%20Framework.pdf
- ICTF P04.01.02 Information Security Classification Standard:
https://aegonna.sharepoint.com/sites/GTS-ICC/Intranet/ITCF/Shared Documents/Forms/AllItems.aspx?id=%2Fsites%2FGTS%2DICC%2FIntranet%2FITCF%2FShared%20Documents%2FEnablers%20%26%20Checklists%2FProtect%20Domain%2FP04%2E01%2E02%20%2D%20Information%20Security%20Classification%20Standard%2Epdf&amp;parent=%2Fsites%2FGTS%2DICC%2FIntranet%2FITCF%2FShared%20Documents%2FEnablers%20%26%20Checklists%2FProtect%20Domain
</t>
  </si>
  <si>
    <t>Infrastructure</t>
  </si>
  <si>
    <t>Stefan Simenon is the Infrastructure Representative</t>
  </si>
  <si>
    <t>Quality Assurance</t>
  </si>
  <si>
    <t>This question is a part of the scorecard to confirm that there are no additional changes that would require a re-validation of the architecture prior to ARB sign off of the Final ARB.</t>
  </si>
  <si>
    <t>Security</t>
  </si>
  <si>
    <t>Representative is in ARB Readiness - Nick Russel, Chad Hunter, or Jeff Bain</t>
  </si>
  <si>
    <t>CCAT</t>
  </si>
  <si>
    <t>Does the solution introduce new critical or high vulnerabilities that are unresolved?</t>
  </si>
  <si>
    <t>Exception - Architecture Risk Exception Link or Justification - Populate this column if Column E indicates the technology solution is not aligned to Architecture Standards or Policies</t>
  </si>
  <si>
    <t>Software/Hardware Acquisition</t>
  </si>
  <si>
    <t>Yes</t>
  </si>
  <si>
    <t>What environment will the solution be deployed to (Physical DataCenter, AWS, Azure, SaaS, PaaS)?</t>
  </si>
  <si>
    <t>Not Applicable</t>
  </si>
  <si>
    <t>US - ADC - Cedar Rapids</t>
  </si>
  <si>
    <t>If this is a project solution - Final ARB, are new technology components introduced by the solution registered in CMDB?</t>
  </si>
  <si>
    <t>No</t>
  </si>
  <si>
    <t>What Observability Pattern is used for the solution?</t>
  </si>
  <si>
    <t>Observability requirement is not defined</t>
  </si>
  <si>
    <t>Link to Observability Patterns needs to be added here</t>
  </si>
  <si>
    <t>What is the Resiliency Pattern for the solution?</t>
  </si>
  <si>
    <t>Resiliency is not a requirement</t>
  </si>
  <si>
    <t>Link to Resiliency Patterns needs to be added here</t>
  </si>
  <si>
    <t>Availability is not a requirement</t>
  </si>
  <si>
    <t>What is the Disaster Recovery Pattern for the solution?</t>
  </si>
  <si>
    <t>DR requirement is not defined</t>
  </si>
  <si>
    <t>Link to Disaster Recovery Patterns needs to be added here</t>
  </si>
  <si>
    <t>What is the Backup Pattern for the solution?</t>
  </si>
  <si>
    <t>Backup requirement is not defined</t>
  </si>
  <si>
    <t>Link to Backup Patterns needs to be added here</t>
  </si>
  <si>
    <t>What is the Deployment Pattern used for the solution?</t>
  </si>
  <si>
    <t>Deployment requirement is not defined</t>
  </si>
  <si>
    <t>Link to Deployment Patterns needs to be added here</t>
  </si>
  <si>
    <t>Partial</t>
  </si>
  <si>
    <t>If the solution interfaces with an application or exchanges data with an application that is a non-Aegon entity, what are the approved pattern(s) used for integration with the third party?</t>
  </si>
  <si>
    <t>Multiple Approved Third Party Integration Patterns</t>
  </si>
  <si>
    <t>Link to Third Party Integration Patterns needs to be added here</t>
  </si>
  <si>
    <t>If the solution interfaces with an intenal application or exchanges data with an internal application, what are the approved pattern(s) used for integration?</t>
  </si>
  <si>
    <t>Multiple Approved Internal Integration Patterns</t>
  </si>
  <si>
    <t>Link to Internal Integration Patterns needs to be added here</t>
  </si>
  <si>
    <t xml:space="preserve">If this is a final ARB, does solution use approved machine / container images? </t>
  </si>
  <si>
    <t>Link to Approved Container/Images Documentation Needs to be Added Here</t>
  </si>
  <si>
    <t>Not Final ARB</t>
  </si>
  <si>
    <t>Not Applicable For This Type of ARB</t>
  </si>
  <si>
    <t>Ping</t>
  </si>
  <si>
    <t>AWS Secrets Manager</t>
  </si>
  <si>
    <t>Yes - TRA is required and not complete</t>
  </si>
  <si>
    <t>Yes - With Exception</t>
  </si>
  <si>
    <t>If this is a Final ARB, is GTS Data Governance sign off / approval attached to GTS ARB agenda request?</t>
  </si>
  <si>
    <t>Instructions for submitting request for Data Governance review need to be added here.</t>
  </si>
  <si>
    <t>If this is a project solution - design or project solution - final ARB, and the solution leverages new data sources or new use cases for data, has a Data Protection Impact Assessment (DPIA) been completed?</t>
  </si>
  <si>
    <t>Solution Does Not Requre a Data Protection Impact Assessment</t>
  </si>
  <si>
    <t>If this is Final ARB and there are impacts to Infrastructure, is infrastructure sign off attached to GTS ARB agenda request?</t>
  </si>
  <si>
    <t>Assigned Infrastructure Manager/Engineer for the initiative is the person to provide the sign off</t>
  </si>
  <si>
    <t>If this scorecared is for a Final ARB, are the test results summary and validation results summary documented and signed off by the technology lead responsible for the implementation</t>
  </si>
  <si>
    <t>This question in a part of the ARB to confirm that there are no additional changes that would require a re-validation of the architecture prior to ARB sign off of the Final ARB.</t>
  </si>
  <si>
    <t>If this is a Final ARB, is the Security Review completed and sign off / approval attached to GTS ARB agenda request?</t>
  </si>
  <si>
    <t>Instructions for initiating Security Review and Sign Off Request need to be added here.</t>
  </si>
  <si>
    <t>Password to unlock cells is:</t>
  </si>
  <si>
    <t>Observability Pattern (If there are various patterns for observability - currently, the question is a yes / no with no impact on score)</t>
  </si>
  <si>
    <t>Deployment Patterns</t>
  </si>
  <si>
    <t>Back Up Pattern</t>
  </si>
  <si>
    <t>Disaster Recovery Pattern</t>
  </si>
  <si>
    <t>Third Party Integration Pattern</t>
  </si>
  <si>
    <t>Resiliency Patterns</t>
  </si>
  <si>
    <t>Internal Integration Pattern</t>
  </si>
  <si>
    <t>Answers</t>
  </si>
  <si>
    <t>Gateways</t>
  </si>
  <si>
    <t>Vulnerabilities</t>
  </si>
  <si>
    <t>Sensitive Data</t>
  </si>
  <si>
    <t>Data Residency</t>
  </si>
  <si>
    <t>Security Risk Rating</t>
  </si>
  <si>
    <t>Gateway Number</t>
  </si>
  <si>
    <t>Criteria</t>
  </si>
  <si>
    <t>Datacenters</t>
  </si>
  <si>
    <t>Regions</t>
  </si>
  <si>
    <t>IDPs</t>
  </si>
  <si>
    <t>Secret Vault</t>
  </si>
  <si>
    <t>Architecture Principles</t>
  </si>
  <si>
    <t>Architecture Review Board Type</t>
  </si>
  <si>
    <t>Yes, No, N/A</t>
  </si>
  <si>
    <t>gea</t>
  </si>
  <si>
    <t>Observability Pattern Name 1</t>
  </si>
  <si>
    <t>Deployment Pattern Name 1</t>
  </si>
  <si>
    <t>Backup Pattern Name 1</t>
  </si>
  <si>
    <t>DR Pattern Name 1</t>
  </si>
  <si>
    <t>Third Party Integration Pattern Name 1</t>
  </si>
  <si>
    <t>Resiliency Pattern Name 1</t>
  </si>
  <si>
    <t>Internal Integration Pattern Name 1</t>
  </si>
  <si>
    <t>99.9% Availability</t>
  </si>
  <si>
    <t>Intake</t>
  </si>
  <si>
    <t>High</t>
  </si>
  <si>
    <t>Compliance</t>
  </si>
  <si>
    <t>Physical Datacenter</t>
  </si>
  <si>
    <t>CyberArk Conjur</t>
  </si>
  <si>
    <t>Capability Driven</t>
  </si>
  <si>
    <t>Proof of Concept</t>
  </si>
  <si>
    <t>Observability Pattern Name 2</t>
  </si>
  <si>
    <t>Deployment Pattern Name 2</t>
  </si>
  <si>
    <t>Backup Pattern Name 2</t>
  </si>
  <si>
    <t>DR Pattern Name 2</t>
  </si>
  <si>
    <t>Third Party Integration Pattern Name 2</t>
  </si>
  <si>
    <t>Resiliency Pattern Name 2</t>
  </si>
  <si>
    <t>Internal Integration Pattern Name 2</t>
  </si>
  <si>
    <t>99.8% Availability</t>
  </si>
  <si>
    <t>Motivation &amp; Foundation</t>
  </si>
  <si>
    <t>Medium</t>
  </si>
  <si>
    <t>AWS</t>
  </si>
  <si>
    <t>EU - EDC - Edinburgh</t>
  </si>
  <si>
    <t>PingOne</t>
  </si>
  <si>
    <t>Data Excellence</t>
  </si>
  <si>
    <t>Observability Pattern Name 3</t>
  </si>
  <si>
    <t>Deployment Pattern Name 3</t>
  </si>
  <si>
    <t>Backup Pattern Name 3</t>
  </si>
  <si>
    <t>DR Pattern Name 3</t>
  </si>
  <si>
    <t>Third Party Integration Pattern Name 3</t>
  </si>
  <si>
    <t>Resiliency Pattern Name 3</t>
  </si>
  <si>
    <t>Internal Integration Pattern Name 3</t>
  </si>
  <si>
    <t>99.5% Availability</t>
  </si>
  <si>
    <t>Baseline &amp; Target</t>
  </si>
  <si>
    <t>Don't know</t>
  </si>
  <si>
    <t>Solution does not introduce or use sensitive data</t>
  </si>
  <si>
    <t>Solution does not introduce or use data with residency requirements</t>
  </si>
  <si>
    <t>Low</t>
  </si>
  <si>
    <t>Azure</t>
  </si>
  <si>
    <t>AWS - Ireland</t>
  </si>
  <si>
    <t>ISAM</t>
  </si>
  <si>
    <t>other</t>
  </si>
  <si>
    <t>Future Proof</t>
  </si>
  <si>
    <t>Component Architecture Standard</t>
  </si>
  <si>
    <t>Observability Pattern Name 4</t>
  </si>
  <si>
    <t>Deployment Pattern Name 4</t>
  </si>
  <si>
    <t>Backup Pattern Name 4</t>
  </si>
  <si>
    <t>DR Pattern Name 4</t>
  </si>
  <si>
    <t>Third Party Integration Pattern Name 4</t>
  </si>
  <si>
    <t>Resiliency Pattern Name 4</t>
  </si>
  <si>
    <t>Internal Integration Pattern Name 4</t>
  </si>
  <si>
    <t>99.0% Availability</t>
  </si>
  <si>
    <t>Transformation Roadmap</t>
  </si>
  <si>
    <t>Vulnerability Management/Scanning is not a requirement for the solution</t>
  </si>
  <si>
    <t>Security Risk Rating does not apply / is not required</t>
  </si>
  <si>
    <t>SaaS</t>
  </si>
  <si>
    <t>AWS - N. Virginia</t>
  </si>
  <si>
    <t>TACACS+</t>
  </si>
  <si>
    <t>Secrets management is not a requirement</t>
  </si>
  <si>
    <t>Interoperable</t>
  </si>
  <si>
    <t>Architecture Design Pattern</t>
  </si>
  <si>
    <t>Observability Pattern Name 5</t>
  </si>
  <si>
    <t>Deployment Pattern Name 5</t>
  </si>
  <si>
    <t>Backup is not a requirement</t>
  </si>
  <si>
    <t>DR is not a requirement</t>
  </si>
  <si>
    <t>Third Party Integration Pattern Name 5</t>
  </si>
  <si>
    <t>Resiliency requirement is not defined</t>
  </si>
  <si>
    <t>Internal Integration Pattern Name 5</t>
  </si>
  <si>
    <t>Availability requirement is not defined</t>
  </si>
  <si>
    <t>Don't Know</t>
  </si>
  <si>
    <t>Realization</t>
  </si>
  <si>
    <t>Unknown</t>
  </si>
  <si>
    <t>Risk &amp; Compliance</t>
  </si>
  <si>
    <t>PaaS</t>
  </si>
  <si>
    <t>AWS - Ohio</t>
  </si>
  <si>
    <t>OKTA</t>
  </si>
  <si>
    <t>Secrets management requirement is not defined</t>
  </si>
  <si>
    <t>Modern</t>
  </si>
  <si>
    <t>Reference Architecture</t>
  </si>
  <si>
    <t>Observability is not a requirement</t>
  </si>
  <si>
    <t>Deployment Pattern Name 6</t>
  </si>
  <si>
    <t>Third Party Integration Pattern Name 6</t>
  </si>
  <si>
    <t>Internal Integration Pattern Name 6</t>
  </si>
  <si>
    <t>Complete</t>
  </si>
  <si>
    <t>Operational Readiness</t>
  </si>
  <si>
    <t>Other</t>
  </si>
  <si>
    <t>Azure - Northern Europe</t>
  </si>
  <si>
    <t>Reliable</t>
  </si>
  <si>
    <t>Project Solution - Design</t>
  </si>
  <si>
    <t>Deployment is not a requirement</t>
  </si>
  <si>
    <t>Multiple Approved</t>
  </si>
  <si>
    <t>Azure - East US</t>
  </si>
  <si>
    <t>Identity is not a part of the solution</t>
  </si>
  <si>
    <t>Secure</t>
  </si>
  <si>
    <t>Project Solution - Final</t>
  </si>
  <si>
    <t>AWS - Multiple Approved</t>
  </si>
  <si>
    <t>Standardized</t>
  </si>
  <si>
    <t>Architecture Controls, Policies or Standards</t>
  </si>
  <si>
    <t>Third party integration is not a requirement</t>
  </si>
  <si>
    <t>Internal Integration is not a requirement</t>
  </si>
  <si>
    <t>Azure - Multiple Approved</t>
  </si>
  <si>
    <t>Transparent</t>
  </si>
  <si>
    <t>Architecture Exception</t>
  </si>
  <si>
    <t>Both ADC and EDC</t>
  </si>
  <si>
    <t>Value Oriented</t>
  </si>
  <si>
    <t>Date </t>
  </si>
  <si>
    <t>Author/updated by </t>
  </si>
  <si>
    <t>Comments </t>
  </si>
  <si>
    <t>Bernard Jauregui</t>
  </si>
  <si>
    <t>First Draft</t>
  </si>
  <si>
    <t>Released for comment</t>
  </si>
  <si>
    <t>What is the type of architecture review board approval requested?</t>
  </si>
  <si>
    <t>Has the architecture been peer reviewed by architects and has all feedback been addressed to the reviewers' satisfaction?</t>
  </si>
  <si>
    <t>Solution doesn't use machine / container images</t>
  </si>
  <si>
    <t>Machine / Container Image Compliance</t>
  </si>
  <si>
    <t>If this is a Project Solution - Final ARB, is the Security Review completed and ARB readiness sign off / approval attached to GTS ARB agenda request?</t>
  </si>
  <si>
    <t>If there are impacts to Infrastructure, is infrastructure review completed and ARB readiness sign off / approval attached to GTS ARB agenda request?</t>
  </si>
  <si>
    <t>If this is Project Solution - Design ARB, within the solution design document and ARB presentation, is the Impacted Technology Components table populated, including CMDB IDs for all technology components currently in production or with a 'New' indicator for components to be added to the CMDB?</t>
  </si>
  <si>
    <t>If this is a Project Solution - Final ARB, are 'New' Business Applications introduced by the solution registered in CMDB and is risk rating completed?</t>
  </si>
  <si>
    <t>Exception to Standards - Link to Risk Acceptance, Risk Remediation, or explanation</t>
  </si>
  <si>
    <t>CMDB Link - Risk Rating must be completed prior to approving Final ARB.  Completing the Application Risk rating is the responsibility of the Application Owner.</t>
  </si>
  <si>
    <t>If this is a Project Solution - Design and the solution leverages new data sources or new use cases for data, has a Data Privacy Impact Assessment (DPIA) been completed?</t>
  </si>
  <si>
    <t>If this is a Project Solution - Final ARB, does the technology lead responsible for the implementation agree that the solution has been tested and is ready for Project Solution - Final ARB?</t>
  </si>
  <si>
    <t>If this is a Project Solution - Final ARB, is GTS Data Privacy Officer ARB readiness acknowledgement completed and attached to GTS ARB agenda request?</t>
  </si>
  <si>
    <t>If this is a Project Solution - Final ARB, does the solution introduce new critical or high vulnerabilities that are unresolved?</t>
  </si>
  <si>
    <t>Machine / Container image repository is not yet available</t>
  </si>
  <si>
    <t>This document lists the pre and post ARB requirements from GTS Architects and GTS Architecture Delivery Product Owner/ARB Facilitator.</t>
  </si>
  <si>
    <t xml:space="preserve">Pre GTS ARB: </t>
  </si>
  <si>
    <t>Create a directory to serve as a repository for architecture documents in the GTS Solution Design repository.</t>
  </si>
  <si>
    <t>Copy the official version of the proper design document and scorecard from the GTS ARB SharePoint site to the above directory.</t>
  </si>
  <si>
    <t>Complete the Architecture Alignment to Standards Scorecard.</t>
  </si>
  <si>
    <t>Complete the design document and send it out for Peer Review and signoffs from requestor.</t>
  </si>
  <si>
    <t>Open an ARB Request, ensuring all required fields are completed.</t>
  </si>
  <si>
    <t xml:space="preserve">Create a PowerPoint presentation for review/approve at Readiness Check. Any changes made in Readiness Check will also be documented before review at GTS ARB. </t>
  </si>
  <si>
    <t>Once the peer feedback is considered, create a request on ARB SharePoint, if not already done.</t>
  </si>
  <si>
    <t>Ensure the Scorecard meets minimum of 90% score.</t>
  </si>
  <si>
    <r>
      <t>·</t>
    </r>
    <r>
      <rPr>
        <sz val="14"/>
        <color theme="1"/>
        <rFont val="Times New Roman"/>
        <family val="1"/>
      </rPr>
      <t xml:space="preserve">         </t>
    </r>
    <r>
      <rPr>
        <sz val="14"/>
        <color theme="1"/>
        <rFont val="Aptos"/>
        <family val="2"/>
      </rPr>
      <t>Note the scorecard of any architecture exceptions due to not meeting a requirement.</t>
    </r>
  </si>
  <si>
    <r>
      <t>·</t>
    </r>
    <r>
      <rPr>
        <sz val="14"/>
        <color theme="1"/>
        <rFont val="Times New Roman"/>
        <family val="1"/>
      </rPr>
      <t xml:space="preserve">         </t>
    </r>
    <r>
      <rPr>
        <sz val="14"/>
        <color theme="1"/>
        <rFont val="Aptos"/>
        <family val="2"/>
      </rPr>
      <t>Architecture exceptions should be logged.  You do not need to wait for approval to do this.</t>
    </r>
  </si>
  <si>
    <t>o    Exceptions to Standards process .</t>
  </si>
  <si>
    <t>Present design at GTS ARB Readiness Check meeting</t>
  </si>
  <si>
    <t>Requires sign off from Security, Data Privacy, Risk, Architecture.</t>
  </si>
  <si>
    <t>PO will update ARB site with ARB date after approved in readiness check.</t>
  </si>
  <si>
    <t>Post GTS ARB Approval:</t>
  </si>
  <si>
    <t>Upload approved ARB presentation to the ARB Request on the GTS ARB SharePoint.</t>
  </si>
  <si>
    <t>Upload the Architecture Design/Artifact to the appropriate directory on the GEA Architecture Repository, adding required meta data.</t>
  </si>
  <si>
    <t>·         Solution Design</t>
  </si>
  <si>
    <t>·         Component Standard</t>
  </si>
  <si>
    <t>·         Reference Architecture</t>
  </si>
  <si>
    <t>·         Architecture Pattern</t>
  </si>
  <si>
    <t>·         Proof of Concept</t>
  </si>
  <si>
    <t xml:space="preserve">If the work is being handed over to an operational team, send a handover email to the Operational teams and requestor. Include GTS PMO if project management resources needs are determined. </t>
  </si>
  <si>
    <r>
      <t xml:space="preserve">If there are Risk Exceptions in the Technical Risk Assessment, are </t>
    </r>
    <r>
      <rPr>
        <b/>
        <sz val="12"/>
        <rFont val="Calibri"/>
        <family val="2"/>
        <scheme val="minor"/>
      </rPr>
      <t>Risks Acceptances</t>
    </r>
    <r>
      <rPr>
        <sz val="12"/>
        <rFont val="Calibri"/>
        <family val="2"/>
        <scheme val="minor"/>
      </rPr>
      <t xml:space="preserve"> documented in the appropriate ServiceNow form?</t>
    </r>
  </si>
  <si>
    <t>Exceptions to standards are logged as GTS Risk Acceptances</t>
  </si>
  <si>
    <r>
      <t xml:space="preserve">If there are Risk Exceptions in the Technical Risk Assessment, are </t>
    </r>
    <r>
      <rPr>
        <b/>
        <sz val="12"/>
        <rFont val="Calibri"/>
        <family val="2"/>
        <scheme val="minor"/>
      </rPr>
      <t>Risks Remediations</t>
    </r>
    <r>
      <rPr>
        <sz val="12"/>
        <rFont val="Calibri"/>
        <family val="2"/>
        <scheme val="minor"/>
      </rPr>
      <t xml:space="preserve"> documented in the appropriate ServiceNow form?</t>
    </r>
  </si>
  <si>
    <t xml:space="preserve">Exceptions to standards are logged as GTS Risk Remediations. </t>
  </si>
  <si>
    <t>Azure Entra ID</t>
  </si>
  <si>
    <t>If the solution interfaces with an internal application or exchanges data with an internal application, are the approved patterns for internal integration documented within the solution architecture?</t>
  </si>
  <si>
    <t>Date</t>
  </si>
  <si>
    <t>Author</t>
  </si>
  <si>
    <t>Description</t>
  </si>
  <si>
    <t>Bobby Willoughby</t>
  </si>
  <si>
    <t>Corrected "data valuation"" for Identity Question (Line 18) to accommodate for the addition of the Azure Entra ID</t>
  </si>
  <si>
    <t>Added "Azure Entra ID" as an option in Line 18, Identity</t>
  </si>
  <si>
    <t>Added this Change Log</t>
  </si>
  <si>
    <t>If this is a Project Solution - Final ARB, is GTS First Line Risk &amp; Controls ARB Readiness acknowledgement completed and attached to GTS ARB agenda request?</t>
  </si>
  <si>
    <t>To initiate this request, contact gtsiccriskandcontrol@transamerica.com</t>
  </si>
  <si>
    <t>If the GTS ARB approval is a component standard using cloud services, please update the service in the appropriate cloud provider list on the Aegon Global Architecture Board SharePoint site (https://aegonna.sharepoint.com/sites/GTS-GlobalARB).</t>
  </si>
  <si>
    <t>No - TRA is Not Required</t>
  </si>
  <si>
    <t>Solution Does Not Requre a Data Privacy Impact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</si>
</sst>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9"/>
      <name val="Segoe UI"/>
      <family val="2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ptos"/>
      <family val="2"/>
    </font>
    <font>
      <u/>
      <sz val="14"/>
      <color theme="10"/>
      <name val="Calibri"/>
      <family val="2"/>
      <scheme val="minor"/>
    </font>
    <font>
      <sz val="14"/>
      <color theme="1"/>
      <name val="Aptos"/>
      <family val="2"/>
    </font>
    <font>
      <sz val="14"/>
      <color theme="1"/>
      <name val="MS Gothic"/>
      <family val="3"/>
    </font>
    <font>
      <sz val="14"/>
      <color theme="1"/>
      <name val="Symbol"/>
      <family val="1"/>
      <charset val="2"/>
    </font>
    <font>
      <sz val="14"/>
      <color theme="1"/>
      <name val="Times New Roman"/>
      <family val="1"/>
    </font>
    <font>
      <sz val="10"/>
      <color theme="1"/>
      <name val="Aptos"/>
      <family val="2"/>
    </font>
    <font>
      <b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/>
      <right/>
      <top style="thick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164" fontId="3" fillId="3" borderId="0" xfId="0" applyNumberFormat="1" applyFont="1" applyFill="1" applyAlignment="1">
      <alignment horizontal="left" vertical="center" wrapText="1"/>
    </xf>
    <xf numFmtId="164" fontId="3" fillId="0" borderId="5" xfId="0" applyNumberFormat="1" applyFont="1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5" borderId="7" xfId="0" applyFill="1" applyBorder="1" applyAlignment="1">
      <alignment vertical="top"/>
    </xf>
    <xf numFmtId="0" fontId="0" fillId="0" borderId="7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7" xfId="0" applyBorder="1" applyAlignment="1">
      <alignment horizontal="center" vertical="top"/>
    </xf>
    <xf numFmtId="0" fontId="0" fillId="0" borderId="7" xfId="0" applyBorder="1" applyAlignment="1">
      <alignment horizontal="left" vertical="top"/>
    </xf>
    <xf numFmtId="0" fontId="0" fillId="5" borderId="7" xfId="0" applyFill="1" applyBorder="1" applyAlignment="1">
      <alignment vertical="top" wrapText="1"/>
    </xf>
    <xf numFmtId="0" fontId="0" fillId="5" borderId="7" xfId="0" applyFill="1" applyBorder="1" applyAlignment="1">
      <alignment horizontal="center" vertical="top"/>
    </xf>
    <xf numFmtId="0" fontId="0" fillId="4" borderId="7" xfId="0" applyFill="1" applyBorder="1" applyAlignment="1">
      <alignment vertical="top"/>
    </xf>
    <xf numFmtId="0" fontId="6" fillId="0" borderId="7" xfId="0" applyFont="1" applyBorder="1" applyAlignment="1">
      <alignment vertical="top" wrapText="1"/>
    </xf>
    <xf numFmtId="0" fontId="0" fillId="6" borderId="7" xfId="0" applyFill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1" fillId="7" borderId="7" xfId="0" applyFont="1" applyFill="1" applyBorder="1" applyAlignment="1">
      <alignment horizontal="left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0" fillId="0" borderId="7" xfId="0" applyBorder="1" applyAlignment="1" applyProtection="1">
      <alignment vertical="top" wrapText="1"/>
      <protection locked="0"/>
    </xf>
    <xf numFmtId="0" fontId="5" fillId="0" borderId="7" xfId="1" applyBorder="1" applyAlignment="1" applyProtection="1">
      <alignment horizontal="left" vertical="top" wrapText="1"/>
      <protection locked="0"/>
    </xf>
    <xf numFmtId="0" fontId="6" fillId="0" borderId="7" xfId="1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5" fillId="0" borderId="7" xfId="1" applyBorder="1" applyAlignment="1" applyProtection="1">
      <alignment vertical="top" wrapText="1"/>
      <protection locked="0"/>
    </xf>
    <xf numFmtId="0" fontId="0" fillId="5" borderId="7" xfId="0" applyFill="1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horizontal="center" vertical="top" wrapText="1"/>
      <protection locked="0"/>
    </xf>
    <xf numFmtId="0" fontId="6" fillId="0" borderId="7" xfId="0" applyFont="1" applyBorder="1" applyAlignment="1" applyProtection="1">
      <alignment horizontal="center" vertical="top" wrapText="1"/>
      <protection locked="0"/>
    </xf>
    <xf numFmtId="0" fontId="2" fillId="0" borderId="8" xfId="0" applyFont="1" applyBorder="1" applyAlignment="1">
      <alignment horizontal="center" vertical="top" wrapText="1"/>
    </xf>
    <xf numFmtId="9" fontId="0" fillId="0" borderId="9" xfId="0" applyNumberFormat="1" applyBorder="1" applyAlignment="1">
      <alignment horizontal="center" vertical="top"/>
    </xf>
    <xf numFmtId="0" fontId="0" fillId="0" borderId="7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8" fillId="7" borderId="7" xfId="1" applyFont="1" applyFill="1" applyBorder="1" applyAlignment="1">
      <alignment horizontal="left" vertical="center" wrapText="1"/>
    </xf>
    <xf numFmtId="0" fontId="0" fillId="5" borderId="10" xfId="0" applyFill="1" applyBorder="1" applyAlignment="1">
      <alignment vertical="top"/>
    </xf>
    <xf numFmtId="0" fontId="0" fillId="4" borderId="10" xfId="0" applyFill="1" applyBorder="1" applyAlignment="1">
      <alignment vertical="top"/>
    </xf>
    <xf numFmtId="0" fontId="0" fillId="5" borderId="10" xfId="0" applyFill="1" applyBorder="1" applyAlignment="1">
      <alignment vertical="top" wrapText="1"/>
    </xf>
    <xf numFmtId="0" fontId="0" fillId="0" borderId="10" xfId="0" applyBorder="1" applyAlignment="1" applyProtection="1">
      <alignment horizontal="center" vertical="top" wrapText="1"/>
      <protection locked="0"/>
    </xf>
    <xf numFmtId="0" fontId="0" fillId="0" borderId="10" xfId="0" applyBorder="1" applyAlignment="1">
      <alignment horizontal="center" vertical="top"/>
    </xf>
    <xf numFmtId="0" fontId="0" fillId="0" borderId="10" xfId="0" applyBorder="1" applyAlignment="1" applyProtection="1">
      <alignment horizontal="left" vertical="top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11" xfId="0" applyBorder="1" applyAlignment="1">
      <alignment vertical="top"/>
    </xf>
    <xf numFmtId="0" fontId="0" fillId="0" borderId="11" xfId="0" applyBorder="1" applyAlignment="1">
      <alignment vertical="top" wrapText="1"/>
    </xf>
    <xf numFmtId="0" fontId="0" fillId="0" borderId="11" xfId="0" applyBorder="1" applyAlignment="1" applyProtection="1">
      <alignment horizontal="center" vertical="top" wrapText="1"/>
      <protection locked="0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 applyProtection="1">
      <alignment horizontal="left" vertical="top"/>
      <protection locked="0"/>
    </xf>
    <xf numFmtId="0" fontId="6" fillId="0" borderId="11" xfId="1" applyFont="1" applyBorder="1" applyAlignment="1" applyProtection="1">
      <alignment horizontal="left" vertical="top" wrapText="1"/>
      <protection locked="0"/>
    </xf>
    <xf numFmtId="0" fontId="0" fillId="0" borderId="12" xfId="0" applyBorder="1" applyAlignment="1">
      <alignment vertical="top"/>
    </xf>
    <xf numFmtId="0" fontId="6" fillId="0" borderId="7" xfId="0" applyFont="1" applyBorder="1" applyAlignment="1">
      <alignment vertical="top"/>
    </xf>
    <xf numFmtId="0" fontId="5" fillId="0" borderId="7" xfId="1" applyBorder="1" applyAlignment="1" applyProtection="1">
      <alignment vertical="top"/>
      <protection locked="0"/>
    </xf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14" fillId="0" borderId="0" xfId="0" applyFont="1" applyAlignment="1">
      <alignment horizontal="left" indent="5"/>
    </xf>
    <xf numFmtId="0" fontId="9" fillId="8" borderId="0" xfId="0" applyFont="1" applyFill="1" applyAlignment="1">
      <alignment horizontal="center" vertical="top" wrapText="1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1" applyFont="1" applyAlignment="1">
      <alignment horizontal="left" indent="2"/>
    </xf>
    <xf numFmtId="0" fontId="12" fillId="0" borderId="0" xfId="0" applyFont="1" applyAlignment="1">
      <alignment horizontal="left" indent="2"/>
    </xf>
    <xf numFmtId="0" fontId="13" fillId="0" borderId="0" xfId="0" applyFont="1" applyAlignment="1">
      <alignment horizontal="left" indent="2"/>
    </xf>
    <xf numFmtId="0" fontId="11" fillId="0" borderId="0" xfId="1" applyFont="1" applyAlignment="1">
      <alignment horizontal="left" vertical="center" indent="5"/>
    </xf>
    <xf numFmtId="0" fontId="11" fillId="0" borderId="0" xfId="1" applyFont="1" applyAlignment="1">
      <alignment horizontal="left" indent="5"/>
    </xf>
    <xf numFmtId="0" fontId="16" fillId="0" borderId="0" xfId="0" applyFont="1" applyAlignment="1">
      <alignment horizontal="left" vertical="center" indent="10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indent="2"/>
    </xf>
    <xf numFmtId="0" fontId="13" fillId="0" borderId="0" xfId="0" applyFont="1" applyAlignment="1">
      <alignment horizontal="left" vertical="center" indent="2"/>
    </xf>
  </cellXfs>
  <cellStyles count="2">
    <cellStyle name="Hyperlink" xfId="1" builtinId="8"/>
    <cellStyle name="Normal" xfId="0" builtinId="0"/>
  </cellStyles>
  <dxfs count="4"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</xdr:row>
          <xdr:rowOff>19050</xdr:rowOff>
        </xdr:from>
        <xdr:to>
          <xdr:col>0</xdr:col>
          <xdr:colOff>409575</xdr:colOff>
          <xdr:row>4</xdr:row>
          <xdr:rowOff>47625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</xdr:row>
          <xdr:rowOff>238125</xdr:rowOff>
        </xdr:from>
        <xdr:to>
          <xdr:col>0</xdr:col>
          <xdr:colOff>409575</xdr:colOff>
          <xdr:row>5</xdr:row>
          <xdr:rowOff>28575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4</xdr:row>
          <xdr:rowOff>228600</xdr:rowOff>
        </xdr:from>
        <xdr:to>
          <xdr:col>0</xdr:col>
          <xdr:colOff>409575</xdr:colOff>
          <xdr:row>6</xdr:row>
          <xdr:rowOff>28575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2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5</xdr:row>
          <xdr:rowOff>228600</xdr:rowOff>
        </xdr:from>
        <xdr:to>
          <xdr:col>0</xdr:col>
          <xdr:colOff>409575</xdr:colOff>
          <xdr:row>7</xdr:row>
          <xdr:rowOff>28575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2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6</xdr:row>
          <xdr:rowOff>228600</xdr:rowOff>
        </xdr:from>
        <xdr:to>
          <xdr:col>0</xdr:col>
          <xdr:colOff>409575</xdr:colOff>
          <xdr:row>8</xdr:row>
          <xdr:rowOff>28575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2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8</xdr:row>
          <xdr:rowOff>9525</xdr:rowOff>
        </xdr:from>
        <xdr:to>
          <xdr:col>0</xdr:col>
          <xdr:colOff>409575</xdr:colOff>
          <xdr:row>9</xdr:row>
          <xdr:rowOff>38100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2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9</xdr:row>
          <xdr:rowOff>9525</xdr:rowOff>
        </xdr:from>
        <xdr:to>
          <xdr:col>0</xdr:col>
          <xdr:colOff>409575</xdr:colOff>
          <xdr:row>10</xdr:row>
          <xdr:rowOff>38100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2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9</xdr:row>
          <xdr:rowOff>238125</xdr:rowOff>
        </xdr:from>
        <xdr:to>
          <xdr:col>0</xdr:col>
          <xdr:colOff>409575</xdr:colOff>
          <xdr:row>11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2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14</xdr:row>
          <xdr:rowOff>19050</xdr:rowOff>
        </xdr:from>
        <xdr:to>
          <xdr:col>0</xdr:col>
          <xdr:colOff>409575</xdr:colOff>
          <xdr:row>15</xdr:row>
          <xdr:rowOff>47625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2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15</xdr:row>
          <xdr:rowOff>9525</xdr:rowOff>
        </xdr:from>
        <xdr:to>
          <xdr:col>0</xdr:col>
          <xdr:colOff>409575</xdr:colOff>
          <xdr:row>16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2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16</xdr:row>
          <xdr:rowOff>19050</xdr:rowOff>
        </xdr:from>
        <xdr:to>
          <xdr:col>0</xdr:col>
          <xdr:colOff>409575</xdr:colOff>
          <xdr:row>17</xdr:row>
          <xdr:rowOff>47625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2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20</xdr:row>
          <xdr:rowOff>19050</xdr:rowOff>
        </xdr:from>
        <xdr:to>
          <xdr:col>0</xdr:col>
          <xdr:colOff>409575</xdr:colOff>
          <xdr:row>21</xdr:row>
          <xdr:rowOff>47625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2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20</xdr:row>
          <xdr:rowOff>238125</xdr:rowOff>
        </xdr:from>
        <xdr:to>
          <xdr:col>0</xdr:col>
          <xdr:colOff>409575</xdr:colOff>
          <xdr:row>22</xdr:row>
          <xdr:rowOff>28575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2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26</xdr:row>
          <xdr:rowOff>228600</xdr:rowOff>
        </xdr:from>
        <xdr:to>
          <xdr:col>0</xdr:col>
          <xdr:colOff>409575</xdr:colOff>
          <xdr:row>27</xdr:row>
          <xdr:rowOff>228600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2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29</xdr:row>
          <xdr:rowOff>228600</xdr:rowOff>
        </xdr:from>
        <xdr:to>
          <xdr:col>0</xdr:col>
          <xdr:colOff>409575</xdr:colOff>
          <xdr:row>31</xdr:row>
          <xdr:rowOff>28575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2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30</xdr:row>
          <xdr:rowOff>228600</xdr:rowOff>
        </xdr:from>
        <xdr:to>
          <xdr:col>0</xdr:col>
          <xdr:colOff>409575</xdr:colOff>
          <xdr:row>32</xdr:row>
          <xdr:rowOff>28575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2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27</xdr:row>
          <xdr:rowOff>228600</xdr:rowOff>
        </xdr:from>
        <xdr:to>
          <xdr:col>0</xdr:col>
          <xdr:colOff>409575</xdr:colOff>
          <xdr:row>29</xdr:row>
          <xdr:rowOff>28575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2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50</xdr:row>
      <xdr:rowOff>0</xdr:rowOff>
    </xdr:from>
    <xdr:to>
      <xdr:col>6</xdr:col>
      <xdr:colOff>478155</xdr:colOff>
      <xdr:row>85</xdr:row>
      <xdr:rowOff>9525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10800"/>
          <a:ext cx="13687425" cy="701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verest, Neil" id="{84C78631-C105-4873-A847-7AD1ADF61028}" userId="S::Neil.Everest@aegon.com::7abe4f5f-2529-4917-872c-a7c627cd255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4-03-26T16:01:00.98" personId="{84C78631-C105-4873-A847-7AD1ADF61028}" id="{90028B18-44D2-4204-9ED5-622CF192F4E6}">
    <text>General Question to add. 
Are the documents in the standard templates and diagrams following ArchiMate?</text>
  </threadedComment>
</ThreadedComment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aegon.sharepoint.com/sites/TA-GTSTechnicalRiskAssessmentTool/RiskReviews/SitePages/Home.aspx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aegonna.sharepoint.com/:x:/r/sites/ASKAegonServiceKnowledge/_layouts/15/Doc.aspx?sourcedoc=%7B3B28A57E-5F90-458B-AC02-A4D333BFAE57%7D&amp;file=Schedule%202%20Global%20SLAs%20-%20maintenance%20windows%20-%20priority%20matrix.xlsx&amp;action=default&amp;mobileredirect=true" TargetMode="External"/><Relationship Id="rId1" Type="http://schemas.openxmlformats.org/officeDocument/2006/relationships/hyperlink" Target="https://aegonna.sharepoint.com/sites/GEA/SitePages/Architecture-Principles.aspx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aegon.service-now.com/nav_to.do?uri=%2Fcmdb_ci_business_app_list.do%3Fsysparm_query%3Doperational_status!%3D7%26sysparm_first_row%3D1%26sysparm_view%3Dbusiness_applications" TargetMode="External"/><Relationship Id="rId4" Type="http://schemas.openxmlformats.org/officeDocument/2006/relationships/hyperlink" Target="https://aegonna.sharepoint.com/sites/GEA/SitePages/Architecture-Exceptions.aspx" TargetMode="External"/><Relationship Id="rId9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bowilloughby/Aegon/SitePages/GTS-Reference-Architectures.aspx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../../../../../../bowilloughby/GTS-ARB/Lists/ARBCalendar/NewForm.aspx%3fSource=https:/aegonna.sharepoint.com/sites/GTS-ARB%3fMode=Edit&amp;id=/sites/GTS-ARB/Lists/ARBCalendar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../../../../../../bowilloughby/Aegon/SitePages/GTS-Component-Architecture-Standards.aspx" TargetMode="External"/><Relationship Id="rId12" Type="http://schemas.openxmlformats.org/officeDocument/2006/relationships/hyperlink" Target="https://forms.office.com/pages/responsepage.aspx?id=NWjhRgTI3kG-PFWDXRTe5EAWEg2cKC9AoCnuY8DJJdxUQkdUV01FWlVNMURKR0s4UUlCMFE5UTJWVCQlQCN0PWcu" TargetMode="External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../../../../../../bowilloughby/GTS-ARB/Lists/ARBCalendar/NewForm.aspx%3fSource=https:/aegonna.sharepoint.com/sites/GTS-ARB%3fMode=Edit&amp;id=/sites/GTS-ARB/Lists/ARBCalendar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../../../../../../bowilloughby/Aegon/SitePages/Architecture-Exceptions.aspx" TargetMode="External"/><Relationship Id="rId6" Type="http://schemas.openxmlformats.org/officeDocument/2006/relationships/hyperlink" Target="../../../../../../bowilloughby/Aegon/SitePages/Project-Solutions.aspx" TargetMode="External"/><Relationship Id="rId11" Type="http://schemas.openxmlformats.org/officeDocument/2006/relationships/hyperlink" Target="https://forms.office.com/pages/responsepage.aspx?id=NWjhRgTI3kG-PFWDXRTe5EAWEg2cKC9AoCnuY8DJJdxUOFNJNkUxWkY4OTNRQVQ2WUVQWFRZMVRaNiQlQCN0PWcu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../../../../../../Forms/AllItems.aspx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../../../../../../bowilloughby/Aegon/SitePages/Proof-of-Concepts.aspx" TargetMode="External"/><Relationship Id="rId19" Type="http://schemas.openxmlformats.org/officeDocument/2006/relationships/ctrlProp" Target="../ctrlProps/ctrlProp5.xml"/><Relationship Id="rId31" Type="http://schemas.openxmlformats.org/officeDocument/2006/relationships/ctrlProp" Target="../ctrlProps/ctrlProp17.xml"/><Relationship Id="rId4" Type="http://schemas.openxmlformats.org/officeDocument/2006/relationships/hyperlink" Target="../../../../../../bowilloughby/Aegon/GTS%20Global%20Engineering%20&amp;%20Architecture%20(GEA)%20-%20GTS%20ARB%20Templates/Forms/AllItems.aspx" TargetMode="External"/><Relationship Id="rId9" Type="http://schemas.openxmlformats.org/officeDocument/2006/relationships/hyperlink" Target="../../../../../../bowilloughby/Aegon/SitePages/Architectural-Patterns.aspx" TargetMode="External"/><Relationship Id="rId14" Type="http://schemas.openxmlformats.org/officeDocument/2006/relationships/vmlDrawing" Target="../drawings/vmlDrawing2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egon.service-now.com/nav_to.do?uri=%2Fcmdb_ci_business_app_list.do%3Fsysparm_query%3Doperational_status!%3D7%26sysparm_first_row%3D1%26sysparm_view%3Dbusiness_applications" TargetMode="External"/><Relationship Id="rId2" Type="http://schemas.openxmlformats.org/officeDocument/2006/relationships/hyperlink" Target="https://aegonna.sharepoint.com/:x:/r/sites/ASKAegonServiceKnowledge/_layouts/15/Doc.aspx?sourcedoc=%7B3B28A57E-5F90-458B-AC02-A4D333BFAE57%7D&amp;file=Schedule%202%20Global%20SLAs%20-%20maintenance%20windows%20-%20priority%20matrix.xlsx&amp;action=default&amp;mobileredirect=true" TargetMode="External"/><Relationship Id="rId1" Type="http://schemas.openxmlformats.org/officeDocument/2006/relationships/hyperlink" Target="https://aegonna.sharepoint.com/sites/GEA/SitePages/Architecture-Principles.aspx" TargetMode="External"/><Relationship Id="rId4" Type="http://schemas.openxmlformats.org/officeDocument/2006/relationships/hyperlink" Target="https://aegon.sharepoint.com/sites/TA-GTSTechnicalRiskAssessmentTool/RiskReviews/SitePages/Home.asp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4B77-B441-4854-8871-626380B012E1}">
  <dimension ref="A1:C4"/>
  <sheetViews>
    <sheetView workbookViewId="0">
      <selection activeCell="C4" sqref="C4"/>
    </sheetView>
  </sheetViews>
  <sheetFormatPr defaultRowHeight="15.75" x14ac:dyDescent="0.25"/>
  <cols>
    <col min="1" max="1" width="15.125" style="68" customWidth="1"/>
    <col min="2" max="2" width="24.375" customWidth="1"/>
    <col min="3" max="3" width="94.75" bestFit="1" customWidth="1"/>
  </cols>
  <sheetData>
    <row r="1" spans="1:3" x14ac:dyDescent="0.25">
      <c r="A1" s="67" t="s">
        <v>283</v>
      </c>
      <c r="B1" s="66" t="s">
        <v>284</v>
      </c>
      <c r="C1" s="66" t="s">
        <v>285</v>
      </c>
    </row>
    <row r="2" spans="1:3" x14ac:dyDescent="0.25">
      <c r="A2" s="68">
        <v>45590</v>
      </c>
      <c r="B2" t="s">
        <v>286</v>
      </c>
      <c r="C2" t="s">
        <v>288</v>
      </c>
    </row>
    <row r="3" spans="1:3" x14ac:dyDescent="0.25">
      <c r="A3" s="68">
        <v>45604</v>
      </c>
      <c r="B3" t="s">
        <v>286</v>
      </c>
      <c r="C3" t="s">
        <v>287</v>
      </c>
    </row>
    <row r="4" spans="1:3" x14ac:dyDescent="0.25">
      <c r="A4" s="68">
        <v>45604</v>
      </c>
      <c r="B4" t="s">
        <v>286</v>
      </c>
      <c r="C4" t="s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1372-FE51-48F9-94DB-6F11ED67CE39}">
  <dimension ref="A1:G30"/>
  <sheetViews>
    <sheetView tabSelected="1" topLeftCell="C1" zoomScale="110" zoomScaleNormal="110" workbookViewId="0">
      <pane ySplit="2" topLeftCell="A21" activePane="bottomLeft" state="frozen"/>
      <selection pane="bottomLeft" activeCell="C28" sqref="C28"/>
    </sheetView>
  </sheetViews>
  <sheetFormatPr defaultColWidth="10.625" defaultRowHeight="15.75" x14ac:dyDescent="0.25"/>
  <cols>
    <col min="1" max="1" width="22.625" style="2" customWidth="1"/>
    <col min="2" max="2" width="31.625" style="2" hidden="1" customWidth="1"/>
    <col min="3" max="3" width="54" style="21" customWidth="1"/>
    <col min="4" max="4" width="32.625" style="23" customWidth="1"/>
    <col min="5" max="5" width="23.125" style="3" customWidth="1"/>
    <col min="6" max="6" width="35" style="5" customWidth="1"/>
    <col min="7" max="7" width="56.125" style="21" customWidth="1"/>
    <col min="8" max="16384" width="10.625" style="2"/>
  </cols>
  <sheetData>
    <row r="1" spans="1:7" ht="32.85" customHeight="1" thickBot="1" x14ac:dyDescent="0.3">
      <c r="D1" s="45" t="s">
        <v>0</v>
      </c>
      <c r="E1" s="46">
        <f>SUM(E4:E30)/27</f>
        <v>0.92592592592592593</v>
      </c>
    </row>
    <row r="2" spans="1:7" s="34" customFormat="1" ht="72" customHeight="1" x14ac:dyDescent="0.25">
      <c r="A2" s="35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49" t="s">
        <v>245</v>
      </c>
      <c r="G2" s="36" t="s">
        <v>6</v>
      </c>
    </row>
    <row r="3" spans="1:7" ht="31.5" x14ac:dyDescent="0.25">
      <c r="A3" s="24" t="s">
        <v>7</v>
      </c>
      <c r="B3" s="24"/>
      <c r="C3" s="25" t="s">
        <v>237</v>
      </c>
      <c r="D3" s="43" t="s">
        <v>169</v>
      </c>
      <c r="E3" s="33" t="s">
        <v>9</v>
      </c>
      <c r="F3" s="47"/>
      <c r="G3" s="41"/>
    </row>
    <row r="4" spans="1:7" ht="31.5" x14ac:dyDescent="0.25">
      <c r="A4" s="24" t="s">
        <v>7</v>
      </c>
      <c r="B4" s="26"/>
      <c r="C4" s="25" t="s">
        <v>238</v>
      </c>
      <c r="D4" s="43" t="s">
        <v>56</v>
      </c>
      <c r="E4" s="27">
        <f>IF(D4 = "Yes",1,IF(D4 = "N/A",1,0))</f>
        <v>0</v>
      </c>
      <c r="F4" s="47"/>
      <c r="G4" s="37"/>
    </row>
    <row r="5" spans="1:7" ht="31.5" x14ac:dyDescent="0.25">
      <c r="A5" s="24" t="s">
        <v>7</v>
      </c>
      <c r="B5" s="26"/>
      <c r="C5" s="29" t="s">
        <v>11</v>
      </c>
      <c r="D5" s="43" t="s">
        <v>147</v>
      </c>
      <c r="E5" s="27">
        <f>IF(D5="AWS",1,IF(D5="Physical DataCenter",1,IF(D5="Azure",1,IF(D5="SaaS",1,IF(D5="PaaS",1,IF(D5="N/A",1,IF(D5="Multiple Approved",1,0)))))))</f>
        <v>1</v>
      </c>
      <c r="F5" s="47"/>
      <c r="G5" s="37"/>
    </row>
    <row r="6" spans="1:7" x14ac:dyDescent="0.25">
      <c r="A6" s="24" t="s">
        <v>7</v>
      </c>
      <c r="B6" s="26"/>
      <c r="C6" s="25" t="s">
        <v>12</v>
      </c>
      <c r="D6" s="43" t="s">
        <v>221</v>
      </c>
      <c r="E6" s="27">
        <f>IF(D6="US - ADC - Cedar Rapids",1,IF(D6="EU - EDC - Edinburgh",1,IF(D6="AWS - Ohio",1,IF(D6="AWS - Ireland",1,IF(D6="AWS - N. Virginia",1,IF(D6="Azure - Multiple Approved",1,IF(D6="AWS - Multiple Approved",1,IF(D6="Azure - Northern Europe",1,IF(D6="Azure - East US",1,IF(D6="Azure - East US",1,IF(D6="EU - EDC",1,IF(D6="Both ADC and EDC",1,IF(D6="US - ADC",1,IF(D6="N/A",1,0))))))))))))))</f>
        <v>1</v>
      </c>
      <c r="F6" s="47"/>
      <c r="G6" s="37"/>
    </row>
    <row r="7" spans="1:7" ht="78.75" x14ac:dyDescent="0.25">
      <c r="A7" s="26" t="s">
        <v>7</v>
      </c>
      <c r="B7" s="26"/>
      <c r="C7" s="25" t="s">
        <v>243</v>
      </c>
      <c r="D7" s="43" t="s">
        <v>56</v>
      </c>
      <c r="E7" s="27">
        <f>IF(D7="Yes",1,IF(D7="Not Applicable For This Type of ARB",1,0))</f>
        <v>0</v>
      </c>
      <c r="F7" s="47"/>
      <c r="G7" s="37"/>
    </row>
    <row r="8" spans="1:7" ht="31.5" x14ac:dyDescent="0.25">
      <c r="A8" s="26" t="s">
        <v>7</v>
      </c>
      <c r="B8" s="26"/>
      <c r="C8" s="25" t="s">
        <v>14</v>
      </c>
      <c r="D8" s="43" t="s">
        <v>51</v>
      </c>
      <c r="E8" s="30">
        <f>IF(D8="Yes",1,IF(D8="N/A",1,0))</f>
        <v>1</v>
      </c>
      <c r="F8" s="47"/>
      <c r="G8" s="37"/>
    </row>
    <row r="9" spans="1:7" ht="47.25" x14ac:dyDescent="0.25">
      <c r="A9" s="24" t="s">
        <v>7</v>
      </c>
      <c r="B9" s="31"/>
      <c r="C9" s="29" t="s">
        <v>15</v>
      </c>
      <c r="D9" s="43" t="s">
        <v>51</v>
      </c>
      <c r="E9" s="30">
        <f>IF(D9="Yes",1,IF(D9="N/A",1,0))</f>
        <v>1</v>
      </c>
      <c r="F9" s="47"/>
      <c r="G9" s="37"/>
    </row>
    <row r="10" spans="1:7" x14ac:dyDescent="0.25">
      <c r="A10" s="24" t="s">
        <v>7</v>
      </c>
      <c r="B10" s="26"/>
      <c r="C10" s="25" t="s">
        <v>16</v>
      </c>
      <c r="D10" s="43" t="s">
        <v>129</v>
      </c>
      <c r="E10" s="27">
        <f>IF(D10="100% Availability",1,IF(D10="99.9% Availability",1,IF(D10="99.8% Availability",1,IF(D10="99.5% Availability",1,IF(D10="99.0% Availability",1,IF(D10="Availability is not a requirement",1,0))))))</f>
        <v>1</v>
      </c>
      <c r="F10" s="47"/>
      <c r="G10" s="41" t="s">
        <v>17</v>
      </c>
    </row>
    <row r="11" spans="1:7" ht="31.5" x14ac:dyDescent="0.25">
      <c r="A11" s="24" t="s">
        <v>7</v>
      </c>
      <c r="B11" s="26"/>
      <c r="C11" s="29" t="s">
        <v>18</v>
      </c>
      <c r="D11" s="43" t="s">
        <v>51</v>
      </c>
      <c r="E11" s="30">
        <f>IF(D11="Yes",1,IF(D11="N/A",1,0))</f>
        <v>1</v>
      </c>
      <c r="F11" s="47"/>
      <c r="G11" s="37"/>
    </row>
    <row r="12" spans="1:7" ht="31.5" x14ac:dyDescent="0.25">
      <c r="A12" s="24" t="s">
        <v>7</v>
      </c>
      <c r="B12" s="26"/>
      <c r="C12" s="25" t="s">
        <v>19</v>
      </c>
      <c r="D12" s="43" t="s">
        <v>51</v>
      </c>
      <c r="E12" s="30">
        <f>IF(D12="Yes",1,IF(D12="N/A",1,0))</f>
        <v>1</v>
      </c>
      <c r="F12" s="47"/>
      <c r="G12" s="37"/>
    </row>
    <row r="13" spans="1:7" ht="31.5" x14ac:dyDescent="0.25">
      <c r="A13" s="24" t="s">
        <v>7</v>
      </c>
      <c r="B13" s="26"/>
      <c r="C13" s="25" t="s">
        <v>20</v>
      </c>
      <c r="D13" s="43" t="s">
        <v>9</v>
      </c>
      <c r="E13" s="30">
        <f>IF(D13="Yes",1,IF(D13="N/A",1,0))</f>
        <v>1</v>
      </c>
      <c r="F13" s="47"/>
      <c r="G13" s="37"/>
    </row>
    <row r="14" spans="1:7" ht="31.5" x14ac:dyDescent="0.25">
      <c r="A14" s="24" t="s">
        <v>7</v>
      </c>
      <c r="B14" s="31"/>
      <c r="C14" s="25" t="s">
        <v>21</v>
      </c>
      <c r="D14" s="44" t="s">
        <v>51</v>
      </c>
      <c r="E14" s="27">
        <f>IF(D14="Yes",1,IF(D14="N/A",1,IF(D14="Partial",0.5,0)))</f>
        <v>1</v>
      </c>
      <c r="F14" s="48"/>
      <c r="G14" s="38" t="s">
        <v>22</v>
      </c>
    </row>
    <row r="15" spans="1:7" ht="110.25" x14ac:dyDescent="0.25">
      <c r="A15" s="26" t="s">
        <v>7</v>
      </c>
      <c r="B15" s="26"/>
      <c r="C15" s="25" t="s">
        <v>23</v>
      </c>
      <c r="D15" s="43" t="s">
        <v>9</v>
      </c>
      <c r="E15" s="30">
        <f>IF(D15="Yes",1,IF(D15="N/A",1,0))</f>
        <v>1</v>
      </c>
      <c r="F15" s="47"/>
      <c r="G15" s="39" t="s">
        <v>24</v>
      </c>
    </row>
    <row r="16" spans="1:7" ht="110.25" x14ac:dyDescent="0.25">
      <c r="A16" s="26" t="s">
        <v>7</v>
      </c>
      <c r="B16" s="26"/>
      <c r="C16" s="25" t="s">
        <v>282</v>
      </c>
      <c r="D16" s="43" t="s">
        <v>9</v>
      </c>
      <c r="E16" s="30">
        <f>IF(D16="Yes",1,IF(D16="N/A",1,0))</f>
        <v>1</v>
      </c>
      <c r="F16" s="47"/>
      <c r="G16" s="39" t="s">
        <v>24</v>
      </c>
    </row>
    <row r="17" spans="1:7" x14ac:dyDescent="0.25">
      <c r="A17" s="26" t="s">
        <v>7</v>
      </c>
      <c r="B17" s="26" t="s">
        <v>27</v>
      </c>
      <c r="C17" s="25" t="s">
        <v>29</v>
      </c>
      <c r="D17" s="43" t="s">
        <v>9</v>
      </c>
      <c r="E17" s="27">
        <f>IF(D17="Yes",1,IF(D17="N/A",1,0))</f>
        <v>1</v>
      </c>
      <c r="F17" s="47"/>
      <c r="G17" s="37"/>
    </row>
    <row r="18" spans="1:7" ht="31.5" x14ac:dyDescent="0.25">
      <c r="A18" s="26" t="s">
        <v>7</v>
      </c>
      <c r="B18" s="26"/>
      <c r="C18" s="25" t="s">
        <v>31</v>
      </c>
      <c r="D18" s="43" t="s">
        <v>281</v>
      </c>
      <c r="E18" s="27">
        <f>IF(D18="Ping",1,IF(D18="PingOne",1,IF(D18="ISAM",1,IF(D18="TACACS+",1,IF(D18="OKTA",1,IF(D18="Azure Entra ID",1,IF(D18="Identity is not a part of the solution",1,0)))))))</f>
        <v>1</v>
      </c>
      <c r="F18" s="47"/>
      <c r="G18" s="37"/>
    </row>
    <row r="19" spans="1:7" ht="31.5" x14ac:dyDescent="0.25">
      <c r="A19" s="26" t="s">
        <v>7</v>
      </c>
      <c r="B19" s="26"/>
      <c r="C19" s="25" t="s">
        <v>32</v>
      </c>
      <c r="D19" s="43" t="s">
        <v>184</v>
      </c>
      <c r="E19" s="27">
        <f>IF(D19 = "CyberArk Conjur",1,IF(D19 = "AWS Secrets Manager",1,IF(D19 = "Secrets management is not a requirement",1,0)))</f>
        <v>1</v>
      </c>
      <c r="F19" s="47"/>
      <c r="G19" s="37"/>
    </row>
    <row r="20" spans="1:7" ht="31.5" x14ac:dyDescent="0.25">
      <c r="A20" s="26" t="s">
        <v>33</v>
      </c>
      <c r="B20" s="26"/>
      <c r="C20" s="25" t="s">
        <v>34</v>
      </c>
      <c r="D20" s="43" t="s">
        <v>293</v>
      </c>
      <c r="E20" s="27">
        <f>IF(D20="Yes - TRA Is Required and Complete",1,IF(D20="No - TRA Is Not Required",1,0))</f>
        <v>1</v>
      </c>
      <c r="F20" s="47"/>
      <c r="G20" s="41" t="s">
        <v>35</v>
      </c>
    </row>
    <row r="21" spans="1:7" ht="378" x14ac:dyDescent="0.25">
      <c r="A21" s="24" t="s">
        <v>37</v>
      </c>
      <c r="B21" s="31"/>
      <c r="C21" s="29" t="s">
        <v>247</v>
      </c>
      <c r="D21" s="43" t="s">
        <v>294</v>
      </c>
      <c r="E21" s="27">
        <f>IF(D21="Yes",1,IF(D21="Solution Does Not Requre a Data Privacy Impact Assessment",1,0))</f>
        <v>1</v>
      </c>
      <c r="F21" s="47"/>
      <c r="G21" s="42" t="s">
        <v>40</v>
      </c>
    </row>
    <row r="22" spans="1:7" ht="47.25" x14ac:dyDescent="0.25">
      <c r="A22" s="26" t="s">
        <v>41</v>
      </c>
      <c r="B22" s="26"/>
      <c r="C22" s="32" t="s">
        <v>242</v>
      </c>
      <c r="D22" s="43" t="s">
        <v>82</v>
      </c>
      <c r="E22" s="27">
        <f>IF(D22="Yes",1,IF(D22="Yes - With Exception",0.5,IF(D22="Not Final ARB",1,0)))</f>
        <v>1</v>
      </c>
      <c r="F22" s="47"/>
      <c r="G22" s="37" t="s">
        <v>42</v>
      </c>
    </row>
    <row r="23" spans="1:7" ht="48" thickBot="1" x14ac:dyDescent="0.3">
      <c r="A23" s="50" t="s">
        <v>45</v>
      </c>
      <c r="B23" s="51" t="s">
        <v>47</v>
      </c>
      <c r="C23" s="52" t="s">
        <v>250</v>
      </c>
      <c r="D23" s="53" t="s">
        <v>56</v>
      </c>
      <c r="E23" s="54">
        <f>IF(D23 = "No",1,IF(D23 = "",0,IF(D23 = "Not Final ARB",1,-11)))</f>
        <v>1</v>
      </c>
      <c r="F23" s="55"/>
      <c r="G23" s="56"/>
    </row>
    <row r="24" spans="1:7" s="63" customFormat="1" ht="111" thickTop="1" x14ac:dyDescent="0.25">
      <c r="A24" s="57" t="s">
        <v>7</v>
      </c>
      <c r="B24" s="57" t="s">
        <v>27</v>
      </c>
      <c r="C24" s="58" t="s">
        <v>28</v>
      </c>
      <c r="D24" s="59" t="s">
        <v>82</v>
      </c>
      <c r="E24" s="60">
        <f>IF(D24 = "Yes",1,IF(D24 = "Not Final ARB",1,0))</f>
        <v>1</v>
      </c>
      <c r="F24" s="61"/>
      <c r="G24" s="62" t="s">
        <v>24</v>
      </c>
    </row>
    <row r="25" spans="1:7" ht="47.25" x14ac:dyDescent="0.25">
      <c r="A25" s="24" t="s">
        <v>7</v>
      </c>
      <c r="B25" s="26"/>
      <c r="C25" s="25" t="s">
        <v>244</v>
      </c>
      <c r="D25" s="43" t="s">
        <v>82</v>
      </c>
      <c r="E25" s="27">
        <f>IF(D25 = "Yes",1,IF(D25 = "Not Final ARB",1,IF(D25 = "",0,-15)))</f>
        <v>1</v>
      </c>
      <c r="F25" s="47"/>
      <c r="G25" s="41" t="s">
        <v>246</v>
      </c>
    </row>
    <row r="26" spans="1:7" ht="31.5" x14ac:dyDescent="0.25">
      <c r="A26" s="26" t="s">
        <v>7</v>
      </c>
      <c r="B26" s="26" t="s">
        <v>25</v>
      </c>
      <c r="C26" s="25" t="s">
        <v>26</v>
      </c>
      <c r="D26" s="43" t="s">
        <v>51</v>
      </c>
      <c r="E26" s="27">
        <f>IF(D26="Yes",1,IF(D26="Not Final ARB",1,IF(D26="Solution doesn't use machine / container images",1,IF(D26="Machine / Container image repository is not yet available",1,0))))</f>
        <v>1</v>
      </c>
      <c r="F26" s="47"/>
      <c r="G26" s="37" t="s">
        <v>81</v>
      </c>
    </row>
    <row r="27" spans="1:7" ht="47.25" x14ac:dyDescent="0.25">
      <c r="A27" s="26" t="s">
        <v>33</v>
      </c>
      <c r="B27" s="26"/>
      <c r="C27" s="32" t="s">
        <v>290</v>
      </c>
      <c r="D27" s="43" t="s">
        <v>82</v>
      </c>
      <c r="E27" s="27">
        <f>IF(D27="Yes",1,IF(D27="Yes - With Exception",0.5,IF(D27="Not Final ARB",1,0)))</f>
        <v>1</v>
      </c>
      <c r="F27" s="47"/>
      <c r="G27" s="37" t="s">
        <v>291</v>
      </c>
    </row>
    <row r="28" spans="1:7" ht="47.25" x14ac:dyDescent="0.25">
      <c r="A28" s="26" t="s">
        <v>37</v>
      </c>
      <c r="B28" s="26" t="s">
        <v>38</v>
      </c>
      <c r="C28" s="32" t="s">
        <v>249</v>
      </c>
      <c r="D28" s="43" t="s">
        <v>82</v>
      </c>
      <c r="E28" s="27">
        <f>IF(D28="Yes",1,IF(D28="Yes - With Exception",0.5,IF(D28="Not Final ARB",1,0)))</f>
        <v>1</v>
      </c>
      <c r="F28" s="47"/>
      <c r="G28" s="37" t="s">
        <v>39</v>
      </c>
    </row>
    <row r="29" spans="1:7" ht="47.25" x14ac:dyDescent="0.25">
      <c r="A29" s="26" t="s">
        <v>43</v>
      </c>
      <c r="B29" s="26"/>
      <c r="C29" s="29" t="s">
        <v>248</v>
      </c>
      <c r="D29" s="43" t="s">
        <v>82</v>
      </c>
      <c r="E29" s="27">
        <f>IF(D29="Yes",1,IF(D29="Not Final ARB",1,0))</f>
        <v>1</v>
      </c>
      <c r="F29" s="48"/>
      <c r="G29" s="40" t="s">
        <v>44</v>
      </c>
    </row>
    <row r="30" spans="1:7" ht="47.25" x14ac:dyDescent="0.25">
      <c r="A30" s="24" t="s">
        <v>45</v>
      </c>
      <c r="B30" s="31"/>
      <c r="C30" s="32" t="s">
        <v>241</v>
      </c>
      <c r="D30" s="43" t="s">
        <v>82</v>
      </c>
      <c r="E30" s="27">
        <f>IF(D30="Yes",1,IF(D30="Yes - With Exception",0.5,IF(D30="Not Final ARB",1,0)))</f>
        <v>1</v>
      </c>
      <c r="F30" s="47"/>
      <c r="G30" s="37" t="s">
        <v>46</v>
      </c>
    </row>
  </sheetData>
  <autoFilter ref="A2:G23" xr:uid="{C8F5E862-E634-4BBD-9593-84317083CAE8}"/>
  <conditionalFormatting sqref="E1">
    <cfRule type="cellIs" dxfId="3" priority="1" operator="between">
      <formula>0.9</formula>
      <formula>1</formula>
    </cfRule>
    <cfRule type="cellIs" dxfId="2" priority="2" operator="between">
      <formula>0</formula>
      <formula>0.899</formula>
    </cfRule>
  </conditionalFormatting>
  <conditionalFormatting sqref="E4:E30">
    <cfRule type="colorScale" priority="22">
      <colorScale>
        <cfvo type="min"/>
        <cfvo type="percentile" val="50"/>
        <cfvo type="max"/>
        <color theme="5" tint="0.39997558519241921"/>
        <color theme="7" tint="0.39997558519241921"/>
        <color theme="9" tint="0.79998168889431442"/>
      </colorScale>
    </cfRule>
  </conditionalFormatting>
  <dataValidations count="11">
    <dataValidation type="list" allowBlank="1" showInputMessage="1" showErrorMessage="1" sqref="D22 D30 D27:D28" xr:uid="{B9E159FB-EA53-414D-AA72-C549A1A443B6}">
      <formula1>"Yes, Yes - With Exception, No, Not Final ARB"</formula1>
    </dataValidation>
    <dataValidation type="list" allowBlank="1" showInputMessage="1" showErrorMessage="1" sqref="D20" xr:uid="{7125961B-2606-4ED6-8099-B54A99128DC2}">
      <formula1>"Yes - TRA is required and Complete, Yes - TRA is required and not complete, No - TRA is Not Required"</formula1>
    </dataValidation>
    <dataValidation type="list" allowBlank="1" showInputMessage="1" showErrorMessage="1" sqref="D7" xr:uid="{EF0A788A-D535-4FC3-BC01-83C151C8669F}">
      <formula1>"Yes, No, Not Applicable For This Type of ARB"</formula1>
    </dataValidation>
    <dataValidation type="list" allowBlank="1" showInputMessage="1" showErrorMessage="1" sqref="D21" xr:uid="{4B977B89-C887-450C-A252-A59940F574AB}">
      <formula1>"Yes, No, Solution Does Not Requre a Data Privacy Impact Assessment"</formula1>
    </dataValidation>
    <dataValidation type="list" allowBlank="1" showInputMessage="1" showErrorMessage="1" sqref="D17" xr:uid="{95BB7BAA-2E3E-40EE-957E-C5340850AD6F}">
      <formula1>"Yes, No, N/A"</formula1>
    </dataValidation>
    <dataValidation type="list" allowBlank="1" showInputMessage="1" showErrorMessage="1" sqref="D24:D25 D23" xr:uid="{E4346746-97CC-4061-8A71-03FA3F6890E3}">
      <formula1>"Yes, No, Not Final ARB"</formula1>
    </dataValidation>
    <dataValidation type="list" allowBlank="1" showInputMessage="1" showErrorMessage="1" sqref="D29" xr:uid="{F840B9DF-FA4C-4AC5-8226-36D1BB5A2CA8}">
      <formula1>"Yes, No, Not Final ARB, Don't know"</formula1>
    </dataValidation>
    <dataValidation type="list" allowBlank="1" showInputMessage="1" showErrorMessage="1" sqref="D29" xr:uid="{5CDAD07A-FCF3-4A9B-98A0-AAC8A5B23EFA}">
      <formula1>"Yes, No"</formula1>
    </dataValidation>
    <dataValidation type="list" allowBlank="1" showInputMessage="1" showErrorMessage="1" sqref="D4" xr:uid="{8A179E62-7722-41E6-A7E6-4F3A6704EDF3}">
      <formula1>Answers</formula1>
    </dataValidation>
    <dataValidation type="list" allowBlank="1" showInputMessage="1" showErrorMessage="1" sqref="D7" xr:uid="{EB35C9C1-7D67-47EB-BC26-235CF5D59770}">
      <formula1>"Yes, No, Not a Final ARB"</formula1>
    </dataValidation>
    <dataValidation type="list" allowBlank="1" showInputMessage="1" showErrorMessage="1" sqref="D234:D1048576" xr:uid="{DFE3D393-0266-4BDD-8D2B-7FA3466AE9BB}">
      <formula1>$R$2:$R$7</formula1>
    </dataValidation>
  </dataValidations>
  <hyperlinks>
    <hyperlink ref="G14" r:id="rId1" display="https://aegonna.sharepoint.com/sites/GEA/SitePages/Architecture-Principles.aspx" xr:uid="{EDEAF0E6-99BF-4CB3-8844-C370DC6A529F}"/>
    <hyperlink ref="G10" r:id="rId2" xr:uid="{C1D9D923-96E5-410D-9688-D549826A6711}"/>
    <hyperlink ref="G20" r:id="rId3" xr:uid="{7335458A-6311-4E5E-934A-F16F0D380C19}"/>
    <hyperlink ref="F2" r:id="rId4" display="Risk Acceptance link (if risk acceptend) or Risk Remediation link (if risk remediation accepted) or explanation of non-passing score" xr:uid="{3E39132F-E130-8E4F-B23E-446A0BD64BCC}"/>
    <hyperlink ref="G25" r:id="rId5" display="CMDB Link" xr:uid="{433AD738-B68F-BA48-9C08-BEBFC5734F54}"/>
  </hyperlinks>
  <pageMargins left="0.7" right="0.7" top="0.75" bottom="0.75" header="0.3" footer="0.3"/>
  <pageSetup orientation="portrait" r:id="rId6"/>
  <ignoredErrors>
    <ignoredError sqref="E14 E21 E29 E10" formula="1"/>
  </ignoredErrors>
  <legacyDrawing r:id="rId7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EB1BF1E-1BCF-4ACD-9DD6-F27F0487F29D}">
          <x14:formula1>
            <xm:f>References!$AA$4:$AA$8</xm:f>
          </x14:formula1>
          <xm:sqref>D26</xm:sqref>
        </x14:dataValidation>
        <x14:dataValidation type="list" allowBlank="1" showInputMessage="1" showErrorMessage="1" xr:uid="{D78FA92D-3EFD-4704-8F20-959288F801C5}">
          <x14:formula1>
            <xm:f>References!$K$4:$K$9</xm:f>
          </x14:formula1>
          <xm:sqref>D10</xm:sqref>
        </x14:dataValidation>
        <x14:dataValidation type="list" allowBlank="1" showInputMessage="1" showErrorMessage="1" xr:uid="{ADD40737-B8F3-4C3D-85DB-1E2E4FAA3F94}">
          <x14:formula1>
            <xm:f>References!$Y$4:$Y$12</xm:f>
          </x14:formula1>
          <xm:sqref>D3</xm:sqref>
        </x14:dataValidation>
        <x14:dataValidation type="list" allowBlank="1" showInputMessage="1" showErrorMessage="1" xr:uid="{11783F38-1C1A-437F-92C3-32EB514892A3}">
          <x14:formula1>
            <xm:f>References!$U$4:$U$14</xm:f>
          </x14:formula1>
          <xm:sqref>D6:D7</xm:sqref>
        </x14:dataValidation>
        <x14:dataValidation type="list" allowBlank="1" showInputMessage="1" showErrorMessage="1" xr:uid="{A678BBD6-028A-4C43-B7F4-05EECD64D6D5}">
          <x14:formula1>
            <xm:f>References!$L$4:$L$8</xm:f>
          </x14:formula1>
          <xm:sqref>D14</xm:sqref>
        </x14:dataValidation>
        <x14:dataValidation type="list" allowBlank="1" showInputMessage="1" showErrorMessage="1" xr:uid="{024BA9D3-54D8-41ED-99AB-FFF70D434BA4}">
          <x14:formula1>
            <xm:f>References!$W$4:$W$8</xm:f>
          </x14:formula1>
          <xm:sqref>D19</xm:sqref>
        </x14:dataValidation>
        <x14:dataValidation type="list" allowBlank="1" showInputMessage="1" showErrorMessage="1" xr:uid="{4253A1FE-4B50-4D9B-B873-FDBBAF4DB88A}">
          <x14:formula1>
            <xm:f>References!$T$4:$T$11</xm:f>
          </x14:formula1>
          <xm:sqref>D5</xm:sqref>
        </x14:dataValidation>
        <x14:dataValidation type="list" allowBlank="1" showInputMessage="1" showErrorMessage="1" xr:uid="{237A1733-7D55-404E-9AA1-A0CA01CEEC50}">
          <x14:formula1>
            <xm:f>References!$V$4:$V$12</xm:f>
          </x14:formula1>
          <xm:sqref>D18</xm:sqref>
        </x14:dataValidation>
        <x14:dataValidation type="list" allowBlank="1" showInputMessage="1" showErrorMessage="1" xr:uid="{9C16E82F-C197-4912-B6B9-40DD97E2D0AB}">
          <x14:formula1>
            <xm:f>References!$Z$4:$Z$6</xm:f>
          </x14:formula1>
          <xm:sqref>D8:D9 D11:D13 D15:D16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862D-F45D-4FFF-9488-FB4C67EC4BEA}">
  <dimension ref="B1:V32"/>
  <sheetViews>
    <sheetView topLeftCell="A26" workbookViewId="0">
      <selection activeCell="B30" sqref="B30:V30"/>
    </sheetView>
  </sheetViews>
  <sheetFormatPr defaultRowHeight="15.75" x14ac:dyDescent="0.25"/>
  <cols>
    <col min="12" max="12" width="31.25" customWidth="1"/>
  </cols>
  <sheetData>
    <row r="1" spans="2:22" ht="18.75" x14ac:dyDescent="0.25">
      <c r="B1" s="70" t="s">
        <v>252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</row>
    <row r="2" spans="2:22" ht="18.75" x14ac:dyDescent="0.3"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</row>
    <row r="3" spans="2:22" ht="18.75" x14ac:dyDescent="0.3">
      <c r="B3" s="72" t="s">
        <v>253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</row>
    <row r="4" spans="2:22" ht="18.75" x14ac:dyDescent="0.3">
      <c r="B4" s="73" t="s">
        <v>254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spans="2:22" ht="18.75" x14ac:dyDescent="0.3">
      <c r="B5" s="73" t="s">
        <v>255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2:22" ht="18.75" x14ac:dyDescent="0.3">
      <c r="B6" s="74" t="s">
        <v>256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</row>
    <row r="7" spans="2:22" ht="18.75" x14ac:dyDescent="0.3">
      <c r="B7" s="74" t="s">
        <v>257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</row>
    <row r="8" spans="2:22" ht="18.75" x14ac:dyDescent="0.3">
      <c r="B8" s="73" t="s">
        <v>258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</row>
    <row r="9" spans="2:22" ht="18.75" x14ac:dyDescent="0.3">
      <c r="B9" s="74" t="s">
        <v>259</v>
      </c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</row>
    <row r="10" spans="2:22" ht="18.75" x14ac:dyDescent="0.3">
      <c r="B10" s="73" t="s">
        <v>260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</row>
    <row r="11" spans="2:22" ht="18.75" x14ac:dyDescent="0.3">
      <c r="B11" s="74" t="s">
        <v>261</v>
      </c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</row>
    <row r="12" spans="2:22" ht="18.75" x14ac:dyDescent="0.3">
      <c r="B12" s="69" t="s">
        <v>262</v>
      </c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</row>
    <row r="13" spans="2:22" ht="18.75" x14ac:dyDescent="0.3">
      <c r="B13" s="69" t="s">
        <v>263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</row>
    <row r="14" spans="2:22" ht="18.75" x14ac:dyDescent="0.3">
      <c r="B14" s="77" t="s">
        <v>264</v>
      </c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</row>
    <row r="15" spans="2:22" ht="18.75" x14ac:dyDescent="0.3">
      <c r="B15" s="74" t="s">
        <v>265</v>
      </c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</row>
    <row r="16" spans="2:22" ht="18.75" x14ac:dyDescent="0.3">
      <c r="B16" s="74" t="s">
        <v>266</v>
      </c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</row>
    <row r="17" spans="2:22" ht="18.75" x14ac:dyDescent="0.3">
      <c r="B17" s="74" t="s">
        <v>267</v>
      </c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</row>
    <row r="18" spans="2:22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</row>
    <row r="19" spans="2:22" x14ac:dyDescent="0.25"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</row>
    <row r="20" spans="2:22" ht="18.75" x14ac:dyDescent="0.25">
      <c r="B20" s="80" t="s">
        <v>268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</row>
    <row r="21" spans="2:22" ht="18.75" x14ac:dyDescent="0.25">
      <c r="B21" s="81" t="s">
        <v>269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</row>
    <row r="22" spans="2:22" ht="18.75" x14ac:dyDescent="0.25">
      <c r="B22" s="81" t="s">
        <v>270</v>
      </c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</row>
    <row r="23" spans="2:22" ht="18.75" x14ac:dyDescent="0.25">
      <c r="B23" s="76" t="s">
        <v>271</v>
      </c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</row>
    <row r="24" spans="2:22" ht="18.75" x14ac:dyDescent="0.25">
      <c r="B24" s="76" t="s">
        <v>272</v>
      </c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</row>
    <row r="25" spans="2:22" ht="18.75" x14ac:dyDescent="0.25">
      <c r="B25" s="76" t="s">
        <v>273</v>
      </c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</row>
    <row r="26" spans="2:22" ht="18.75" x14ac:dyDescent="0.25">
      <c r="B26" s="76" t="s">
        <v>274</v>
      </c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</row>
    <row r="27" spans="2:22" ht="18.75" x14ac:dyDescent="0.25">
      <c r="B27" s="76" t="s">
        <v>275</v>
      </c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</row>
    <row r="28" spans="2:22" ht="18.75" x14ac:dyDescent="0.25">
      <c r="B28" s="81" t="s">
        <v>292</v>
      </c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</row>
    <row r="29" spans="2:22" ht="18.75" x14ac:dyDescent="0.25">
      <c r="B29" s="81" t="s">
        <v>276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</row>
    <row r="30" spans="2:22" x14ac:dyDescent="0.25"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</row>
    <row r="31" spans="2:22" x14ac:dyDescent="0.25">
      <c r="B31" s="64" t="s">
        <v>277</v>
      </c>
      <c r="M31" s="65" t="s">
        <v>278</v>
      </c>
    </row>
    <row r="32" spans="2:22" x14ac:dyDescent="0.25">
      <c r="B32" s="64" t="s">
        <v>279</v>
      </c>
      <c r="M32" s="65" t="s">
        <v>280</v>
      </c>
    </row>
  </sheetData>
  <mergeCells count="30">
    <mergeCell ref="B25:V25"/>
    <mergeCell ref="B26:V26"/>
    <mergeCell ref="B27:V27"/>
    <mergeCell ref="B28:V28"/>
    <mergeCell ref="B30:V30"/>
    <mergeCell ref="B29:V29"/>
    <mergeCell ref="B24:V24"/>
    <mergeCell ref="B13:V13"/>
    <mergeCell ref="B14:V14"/>
    <mergeCell ref="B15:V15"/>
    <mergeCell ref="B16:V16"/>
    <mergeCell ref="B17:V17"/>
    <mergeCell ref="B18:V18"/>
    <mergeCell ref="B19:V19"/>
    <mergeCell ref="B20:V20"/>
    <mergeCell ref="B21:V21"/>
    <mergeCell ref="B22:V22"/>
    <mergeCell ref="B23:V23"/>
    <mergeCell ref="B12:V12"/>
    <mergeCell ref="B1:V1"/>
    <mergeCell ref="B2:V2"/>
    <mergeCell ref="B3:V3"/>
    <mergeCell ref="B4:V4"/>
    <mergeCell ref="B5:V5"/>
    <mergeCell ref="B6:V6"/>
    <mergeCell ref="B7:V7"/>
    <mergeCell ref="B8:V8"/>
    <mergeCell ref="B9:V9"/>
    <mergeCell ref="B10:V10"/>
    <mergeCell ref="B11:V11"/>
  </mergeCells>
  <hyperlinks>
    <hyperlink ref="B14" r:id="rId1" display="../SitePages/Architecture-Exceptions.aspx" xr:uid="{75E422A0-DE7E-47FF-8DFB-80E4D197005F}"/>
    <hyperlink ref="B10" r:id="rId2" display="../../GTS-ARB/Lists/ARBCalendar/NewForm.aspx?Source=https%3A%2F%2Faegonna.sharepoint.com%2Fsites%2FGTS-ARB%3FMode%3DEdit&amp;id=%2Fsites%2FGTS-ARB%2FLists%2FARBCalendar" xr:uid="{5C980F9D-DD1C-4FB3-92C3-15692057E475}"/>
    <hyperlink ref="B8" r:id="rId3" display="../../GTS-ARB/Lists/ARBCalendar/NewForm.aspx?Source=https%3A%2F%2Faegonna.sharepoint.com%2Fsites%2FGTS-ARB%3FMode%3DEdit&amp;id=%2Fsites%2FGTS-ARB%2FLists%2FARBCalendar" xr:uid="{23C5171B-82F9-4378-906D-3FCE4D4FCB7C}"/>
    <hyperlink ref="B5" r:id="rId4" display="Forms/AllItems.aspx" xr:uid="{5249D475-46CD-4926-B22D-1544C456ABF5}"/>
    <hyperlink ref="B4" r:id="rId5" display="https://aegon.sharepoint.com/sites/AGTSolutionDesignRepository/Shared Documents/Forms/AllItems.aspx" xr:uid="{C2169F1B-DCAE-4EFD-8DE6-5FF9B6916672}"/>
    <hyperlink ref="B23" r:id="rId6" display="../SitePages/Project-Solutions.aspx" xr:uid="{219B48D2-8353-451C-B07B-998F0BE38C12}"/>
    <hyperlink ref="B24" r:id="rId7" display="../SitePages/GTS-Component-Architecture-Standards.aspx" xr:uid="{403FCFB4-4C9A-4389-A13E-B30871CD52A5}"/>
    <hyperlink ref="B25" r:id="rId8" display="../SitePages/GTS-Reference-Architectures.aspx" xr:uid="{56E61182-44FC-4FCE-AB4D-F4CFF5B9412E}"/>
    <hyperlink ref="B26" r:id="rId9" display="../SitePages/Architectural-Patterns.aspx" xr:uid="{32D9F0FE-C739-44E7-BBC7-E7A5B5FD7342}"/>
    <hyperlink ref="B27" r:id="rId10" display="../SitePages/Proof-of-Concepts.aspx" xr:uid="{DF309820-C27F-42E0-B8BE-E99D36E9FCA2}"/>
    <hyperlink ref="M31" r:id="rId11" xr:uid="{5F8E1963-DF68-4B7E-ABF8-1B188E601216}"/>
    <hyperlink ref="M32" r:id="rId12" xr:uid="{9167C066-095D-4DAC-8E9F-502739E12246}"/>
  </hyperlinks>
  <pageMargins left="0.7" right="0.7" top="0.75" bottom="0.75" header="0.3" footer="0.3"/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15" name="Check Box 1">
              <controlPr defaultSize="0" autoFill="0" autoLine="0" autoPict="0">
                <anchor moveWithCells="1">
                  <from>
                    <xdr:col>0</xdr:col>
                    <xdr:colOff>161925</xdr:colOff>
                    <xdr:row>3</xdr:row>
                    <xdr:rowOff>19050</xdr:rowOff>
                  </from>
                  <to>
                    <xdr:col>0</xdr:col>
                    <xdr:colOff>409575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16" name="Check Box 2">
              <controlPr defaultSize="0" autoFill="0" autoLine="0" autoPict="0">
                <anchor moveWithCells="1">
                  <from>
                    <xdr:col>0</xdr:col>
                    <xdr:colOff>161925</xdr:colOff>
                    <xdr:row>3</xdr:row>
                    <xdr:rowOff>238125</xdr:rowOff>
                  </from>
                  <to>
                    <xdr:col>0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17" name="Check Box 3">
              <controlPr defaultSize="0" autoFill="0" autoLine="0" autoPict="0">
                <anchor moveWithCells="1">
                  <from>
                    <xdr:col>0</xdr:col>
                    <xdr:colOff>161925</xdr:colOff>
                    <xdr:row>4</xdr:row>
                    <xdr:rowOff>228600</xdr:rowOff>
                  </from>
                  <to>
                    <xdr:col>0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18" name="Check Box 4">
              <controlPr defaultSize="0" autoFill="0" autoLine="0" autoPict="0">
                <anchor moveWithCells="1">
                  <from>
                    <xdr:col>0</xdr:col>
                    <xdr:colOff>161925</xdr:colOff>
                    <xdr:row>5</xdr:row>
                    <xdr:rowOff>228600</xdr:rowOff>
                  </from>
                  <to>
                    <xdr:col>0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19" name="Check Box 5">
              <controlPr defaultSize="0" autoFill="0" autoLine="0" autoPict="0">
                <anchor moveWithCells="1">
                  <from>
                    <xdr:col>0</xdr:col>
                    <xdr:colOff>161925</xdr:colOff>
                    <xdr:row>6</xdr:row>
                    <xdr:rowOff>228600</xdr:rowOff>
                  </from>
                  <to>
                    <xdr:col>0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20" name="Check Box 6">
              <controlPr defaultSize="0" autoFill="0" autoLine="0" autoPict="0">
                <anchor moveWithCells="1">
                  <from>
                    <xdr:col>0</xdr:col>
                    <xdr:colOff>161925</xdr:colOff>
                    <xdr:row>8</xdr:row>
                    <xdr:rowOff>9525</xdr:rowOff>
                  </from>
                  <to>
                    <xdr:col>0</xdr:col>
                    <xdr:colOff>409575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21" name="Check Box 7">
              <controlPr defaultSize="0" autoFill="0" autoLine="0" autoPict="0">
                <anchor moveWithCells="1">
                  <from>
                    <xdr:col>0</xdr:col>
                    <xdr:colOff>161925</xdr:colOff>
                    <xdr:row>9</xdr:row>
                    <xdr:rowOff>9525</xdr:rowOff>
                  </from>
                  <to>
                    <xdr:col>0</xdr:col>
                    <xdr:colOff>409575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22" name="Check Box 8">
              <controlPr defaultSize="0" autoFill="0" autoLine="0" autoPict="0">
                <anchor moveWithCells="1">
                  <from>
                    <xdr:col>0</xdr:col>
                    <xdr:colOff>161925</xdr:colOff>
                    <xdr:row>9</xdr:row>
                    <xdr:rowOff>238125</xdr:rowOff>
                  </from>
                  <to>
                    <xdr:col>0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23" name="Check Box 9">
              <controlPr defaultSize="0" autoFill="0" autoLine="0" autoPict="0">
                <anchor moveWithCells="1">
                  <from>
                    <xdr:col>0</xdr:col>
                    <xdr:colOff>161925</xdr:colOff>
                    <xdr:row>14</xdr:row>
                    <xdr:rowOff>19050</xdr:rowOff>
                  </from>
                  <to>
                    <xdr:col>0</xdr:col>
                    <xdr:colOff>409575</xdr:colOff>
                    <xdr:row>15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24" name="Check Box 10">
              <controlPr defaultSize="0" autoFill="0" autoLine="0" autoPict="0">
                <anchor moveWithCells="1">
                  <from>
                    <xdr:col>0</xdr:col>
                    <xdr:colOff>161925</xdr:colOff>
                    <xdr:row>15</xdr:row>
                    <xdr:rowOff>9525</xdr:rowOff>
                  </from>
                  <to>
                    <xdr:col>0</xdr:col>
                    <xdr:colOff>409575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25" name="Check Box 11">
              <controlPr defaultSize="0" autoFill="0" autoLine="0" autoPict="0">
                <anchor moveWithCells="1">
                  <from>
                    <xdr:col>0</xdr:col>
                    <xdr:colOff>161925</xdr:colOff>
                    <xdr:row>16</xdr:row>
                    <xdr:rowOff>19050</xdr:rowOff>
                  </from>
                  <to>
                    <xdr:col>0</xdr:col>
                    <xdr:colOff>409575</xdr:colOff>
                    <xdr:row>17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26" name="Check Box 12">
              <controlPr defaultSize="0" autoFill="0" autoLine="0" autoPict="0">
                <anchor moveWithCells="1">
                  <from>
                    <xdr:col>0</xdr:col>
                    <xdr:colOff>161925</xdr:colOff>
                    <xdr:row>20</xdr:row>
                    <xdr:rowOff>19050</xdr:rowOff>
                  </from>
                  <to>
                    <xdr:col>0</xdr:col>
                    <xdr:colOff>409575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27" name="Check Box 13">
              <controlPr defaultSize="0" autoFill="0" autoLine="0" autoPict="0">
                <anchor moveWithCells="1">
                  <from>
                    <xdr:col>0</xdr:col>
                    <xdr:colOff>161925</xdr:colOff>
                    <xdr:row>20</xdr:row>
                    <xdr:rowOff>238125</xdr:rowOff>
                  </from>
                  <to>
                    <xdr:col>0</xdr:col>
                    <xdr:colOff>409575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28" name="Check Box 14">
              <controlPr defaultSize="0" autoFill="0" autoLine="0" autoPict="0">
                <anchor moveWithCells="1">
                  <from>
                    <xdr:col>0</xdr:col>
                    <xdr:colOff>161925</xdr:colOff>
                    <xdr:row>26</xdr:row>
                    <xdr:rowOff>228600</xdr:rowOff>
                  </from>
                  <to>
                    <xdr:col>0</xdr:col>
                    <xdr:colOff>409575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29" name="Check Box 15">
              <controlPr defaultSize="0" autoFill="0" autoLine="0" autoPict="0">
                <anchor moveWithCells="1">
                  <from>
                    <xdr:col>0</xdr:col>
                    <xdr:colOff>161925</xdr:colOff>
                    <xdr:row>29</xdr:row>
                    <xdr:rowOff>228600</xdr:rowOff>
                  </from>
                  <to>
                    <xdr:col>0</xdr:col>
                    <xdr:colOff>409575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30" name="Check Box 16">
              <controlPr defaultSize="0" autoFill="0" autoLine="0" autoPict="0">
                <anchor moveWithCells="1">
                  <from>
                    <xdr:col>0</xdr:col>
                    <xdr:colOff>161925</xdr:colOff>
                    <xdr:row>30</xdr:row>
                    <xdr:rowOff>228600</xdr:rowOff>
                  </from>
                  <to>
                    <xdr:col>0</xdr:col>
                    <xdr:colOff>409575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31" name="Check Box 17">
              <controlPr defaultSize="0" autoFill="0" autoLine="0" autoPict="0">
                <anchor moveWithCells="1">
                  <from>
                    <xdr:col>0</xdr:col>
                    <xdr:colOff>161925</xdr:colOff>
                    <xdr:row>27</xdr:row>
                    <xdr:rowOff>228600</xdr:rowOff>
                  </from>
                  <to>
                    <xdr:col>0</xdr:col>
                    <xdr:colOff>409575</xdr:colOff>
                    <xdr:row>29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E862-E634-4BBD-9593-84317083CAE8}">
  <dimension ref="A1:G31"/>
  <sheetViews>
    <sheetView zoomScaleNormal="100" workbookViewId="0">
      <pane ySplit="1" topLeftCell="A26" activePane="bottomLeft" state="frozen"/>
      <selection pane="bottomLeft" activeCell="D35" sqref="D35"/>
    </sheetView>
  </sheetViews>
  <sheetFormatPr defaultColWidth="10.625" defaultRowHeight="15.75" x14ac:dyDescent="0.25"/>
  <cols>
    <col min="1" max="1" width="22.625" style="2" customWidth="1"/>
    <col min="2" max="2" width="31.625" style="2" hidden="1" customWidth="1"/>
    <col min="3" max="3" width="54" style="21" customWidth="1"/>
    <col min="4" max="4" width="32.625" style="23" customWidth="1"/>
    <col min="5" max="5" width="23.125" style="3" customWidth="1"/>
    <col min="6" max="6" width="35" style="5" customWidth="1"/>
    <col min="7" max="7" width="56.125" style="21" customWidth="1"/>
    <col min="8" max="16384" width="10.625" style="2"/>
  </cols>
  <sheetData>
    <row r="1" spans="1:7" s="34" customFormat="1" ht="107.85" customHeight="1" x14ac:dyDescent="0.25">
      <c r="A1" s="35" t="s">
        <v>1</v>
      </c>
      <c r="B1" s="36" t="s">
        <v>2</v>
      </c>
      <c r="C1" s="36" t="s">
        <v>3</v>
      </c>
      <c r="D1" s="36" t="s">
        <v>4</v>
      </c>
      <c r="E1" s="36" t="s">
        <v>5</v>
      </c>
      <c r="F1" s="35" t="s">
        <v>49</v>
      </c>
      <c r="G1" s="36" t="s">
        <v>6</v>
      </c>
    </row>
    <row r="2" spans="1:7" ht="31.5" x14ac:dyDescent="0.25">
      <c r="A2" s="24" t="s">
        <v>7</v>
      </c>
      <c r="B2" s="24"/>
      <c r="C2" s="25" t="s">
        <v>8</v>
      </c>
      <c r="D2" s="43" t="s">
        <v>50</v>
      </c>
      <c r="E2" s="33" t="s">
        <v>9</v>
      </c>
      <c r="F2" s="28"/>
      <c r="G2" s="37"/>
    </row>
    <row r="3" spans="1:7" ht="31.5" x14ac:dyDescent="0.25">
      <c r="A3" s="24" t="s">
        <v>7</v>
      </c>
      <c r="B3" s="26"/>
      <c r="C3" s="25" t="s">
        <v>10</v>
      </c>
      <c r="D3" s="43" t="s">
        <v>51</v>
      </c>
      <c r="E3" s="27">
        <f>IF(D3 = "Yes",1,IF(D3 = "N/A",1,0))</f>
        <v>1</v>
      </c>
      <c r="F3" s="28"/>
      <c r="G3" s="37"/>
    </row>
    <row r="4" spans="1:7" ht="31.5" x14ac:dyDescent="0.25">
      <c r="A4" s="24" t="s">
        <v>7</v>
      </c>
      <c r="B4" s="26"/>
      <c r="C4" s="29" t="s">
        <v>52</v>
      </c>
      <c r="D4" s="43" t="s">
        <v>53</v>
      </c>
      <c r="E4" s="27">
        <f>IF(D4="AWS",1,IF(D4="Physical DataCenter",1,IF(D4="Azure",1,IF(D4="SaaS",1,IF(D4="PaaS",1,IF(D4="Not Applicable",1,0))))))</f>
        <v>1</v>
      </c>
      <c r="F4" s="28"/>
      <c r="G4" s="37"/>
    </row>
    <row r="5" spans="1:7" x14ac:dyDescent="0.25">
      <c r="A5" s="24" t="s">
        <v>7</v>
      </c>
      <c r="B5" s="26"/>
      <c r="C5" s="25" t="s">
        <v>12</v>
      </c>
      <c r="D5" s="43" t="s">
        <v>54</v>
      </c>
      <c r="E5" s="27">
        <f>IF(D5="US - ADC - Cedar Rapids",1,IF(D5="EU - EDC - Edinburgh",1,IF(D5="AWS - Ohio",1,IF(D5="AWS - Ireland",1,IF(D5="AWS - N. Virginia",1,IF(D5="Azure - Multiple Approved",1,IF(D5="AWS - Multiple Approved",1,IF(D5="Azure - Northern Europe",1,IF(D5="Azure - East US",1,IF(D5="Azure - East US",1,IF(D5="EU - EDC",1,IF(D5="Both ADC and EDC",1,IF(D5="US - ADC",1,IF(D5="N/A",1,0))))))))))))))</f>
        <v>1</v>
      </c>
      <c r="F5" s="28"/>
      <c r="G5" s="37"/>
    </row>
    <row r="6" spans="1:7" ht="31.5" x14ac:dyDescent="0.25">
      <c r="A6" s="24" t="s">
        <v>7</v>
      </c>
      <c r="B6" s="26"/>
      <c r="C6" s="25" t="s">
        <v>55</v>
      </c>
      <c r="D6" s="43" t="s">
        <v>56</v>
      </c>
      <c r="E6" s="27">
        <f>IF(D6 = "Yes",1,IF(D6 = "Not a Final ARB",1,0))</f>
        <v>0</v>
      </c>
      <c r="F6" s="28"/>
      <c r="G6" s="41" t="s">
        <v>13</v>
      </c>
    </row>
    <row r="7" spans="1:7" ht="31.5" x14ac:dyDescent="0.25">
      <c r="A7" s="26" t="s">
        <v>7</v>
      </c>
      <c r="B7" s="26"/>
      <c r="C7" s="25" t="s">
        <v>57</v>
      </c>
      <c r="D7" s="43" t="s">
        <v>58</v>
      </c>
      <c r="E7" s="30">
        <f>IF(D7="Observability Pattern Name 1",1,IF(D7="Observability Pattern Name 2",1,IF(D7="Observability Pattern Name 3",1,IF(D7="Observability Pattern Name 4",1,IF(D7="Observability Pattern Name 5",1,IF(D7="Observability Pattern Name 6",1,IF(D7="Observability is not a requirement",1,0)))))))</f>
        <v>0</v>
      </c>
      <c r="F7" s="28"/>
      <c r="G7" s="37" t="s">
        <v>59</v>
      </c>
    </row>
    <row r="8" spans="1:7" x14ac:dyDescent="0.25">
      <c r="A8" s="24" t="s">
        <v>7</v>
      </c>
      <c r="B8" s="31"/>
      <c r="C8" s="29" t="s">
        <v>60</v>
      </c>
      <c r="D8" s="44" t="s">
        <v>61</v>
      </c>
      <c r="E8" s="30">
        <f>IF(D8="Resiliency Pattern Name 1",1,IF(D8="Resiliency Pattern Name 2",1,IF(D8="Resiliency Pattern Name 3",1,IF(D8="Resiliency Pattern Name 4",1,IF(D8="v",1,IF(D8="Resiliency is not a requirement",1,0))))))</f>
        <v>1</v>
      </c>
      <c r="F8" s="28"/>
      <c r="G8" s="37" t="s">
        <v>62</v>
      </c>
    </row>
    <row r="9" spans="1:7" x14ac:dyDescent="0.25">
      <c r="A9" s="24" t="s">
        <v>7</v>
      </c>
      <c r="B9" s="26"/>
      <c r="C9" s="25" t="s">
        <v>16</v>
      </c>
      <c r="D9" s="43" t="s">
        <v>63</v>
      </c>
      <c r="E9" s="27">
        <f>IF(D9="100% Availability (Platinum)",1,IF(D9="99.9% Availability (Gold)",1,IF(D9="99% Availability (Silver)",1,IF(D9="97% Availability (Bronze)",1,IF(D9="Availability is not a requirement",1,0)))))</f>
        <v>1</v>
      </c>
      <c r="F9" s="28"/>
      <c r="G9" s="41" t="s">
        <v>17</v>
      </c>
    </row>
    <row r="10" spans="1:7" x14ac:dyDescent="0.25">
      <c r="A10" s="24" t="s">
        <v>7</v>
      </c>
      <c r="B10" s="26"/>
      <c r="C10" s="25" t="s">
        <v>64</v>
      </c>
      <c r="D10" s="43" t="s">
        <v>65</v>
      </c>
      <c r="E10" s="27">
        <f>IF(D10="DR Pattern Name 1",1,IF(D10="DR Pattern Name 2",1,IF(D10="DR Pattern Name 3",1,IF(D10="DR Pattern Name 4",1,IF(D10="DR is not a requirement",1,0)))))</f>
        <v>0</v>
      </c>
      <c r="F10" s="28"/>
      <c r="G10" s="37" t="s">
        <v>66</v>
      </c>
    </row>
    <row r="11" spans="1:7" x14ac:dyDescent="0.25">
      <c r="A11" s="24" t="s">
        <v>7</v>
      </c>
      <c r="B11" s="26"/>
      <c r="C11" s="25" t="s">
        <v>67</v>
      </c>
      <c r="D11" s="43" t="s">
        <v>68</v>
      </c>
      <c r="E11" s="27">
        <f>IF(D11="Backup Pattern Name 1",1,IF(D11="Backup Pattern Name 2",1,IF(D11="Backup Pattern Name 3",1,IF(D11="Backup Pattern Name 4",1,IF(D11="Backup is not a requirement",1,0)))))</f>
        <v>0</v>
      </c>
      <c r="F11" s="28"/>
      <c r="G11" s="37" t="s">
        <v>69</v>
      </c>
    </row>
    <row r="12" spans="1:7" ht="31.5" x14ac:dyDescent="0.25">
      <c r="A12" s="24" t="s">
        <v>7</v>
      </c>
      <c r="B12" s="26"/>
      <c r="C12" s="25" t="s">
        <v>70</v>
      </c>
      <c r="D12" s="43" t="s">
        <v>71</v>
      </c>
      <c r="E12" s="30">
        <f>IF(D12="Deployment Pattern Name 1",1,IF(D12="Deployment Pattern Name 2",1,IF(D12="Deployment Pattern Name 3",1,IF(D12="Deployment Pattern Name 4",1,IF(D12="Deployment Pattern Name 5",1,IF(D12="Deployment Pattern Name 6",1,IF(D12="Deployment is not a requirement",1,0)))))))</f>
        <v>0</v>
      </c>
      <c r="F12" s="28"/>
      <c r="G12" s="37" t="s">
        <v>72</v>
      </c>
    </row>
    <row r="13" spans="1:7" ht="31.5" x14ac:dyDescent="0.25">
      <c r="A13" s="24" t="s">
        <v>7</v>
      </c>
      <c r="B13" s="31"/>
      <c r="C13" s="25" t="s">
        <v>21</v>
      </c>
      <c r="D13" s="44" t="s">
        <v>73</v>
      </c>
      <c r="E13" s="27">
        <f>IF(D13="Yes",1,IF(D13="N/A",1,IF(D13="Partial",0.5,0)))</f>
        <v>0.5</v>
      </c>
      <c r="G13" s="38" t="s">
        <v>22</v>
      </c>
    </row>
    <row r="14" spans="1:7" ht="47.25" x14ac:dyDescent="0.25">
      <c r="A14" s="26" t="s">
        <v>7</v>
      </c>
      <c r="B14" s="26"/>
      <c r="C14" s="25" t="s">
        <v>74</v>
      </c>
      <c r="D14" s="43" t="s">
        <v>75</v>
      </c>
      <c r="E14" s="27">
        <f>IF(D14="Third Party Integration Pattern Name 1",1,IF(D14="Third Party Integration Pattern Name 2",1,IF(D14="Third Party Integration Pattern Name 3",1,IF(D14="Third Party Integration Pattern Name 4",1,IF(D14="Third Party Integration Pattern Name 5",1,IF(D14="Third Party Integration Pattern Name 6",1,IF(D14="Third Party Integration is not a requirement",1,IF(D14="Multiple Approved Third Party Integration Patterns",1,0))))))))</f>
        <v>1</v>
      </c>
      <c r="F14" s="28"/>
      <c r="G14" s="37" t="s">
        <v>76</v>
      </c>
    </row>
    <row r="15" spans="1:7" ht="47.25" x14ac:dyDescent="0.25">
      <c r="A15" s="26" t="s">
        <v>7</v>
      </c>
      <c r="B15" s="26"/>
      <c r="C15" s="25" t="s">
        <v>77</v>
      </c>
      <c r="D15" s="43" t="s">
        <v>78</v>
      </c>
      <c r="E15" s="27">
        <f>IF(D15="Internal Integration Pattern Name 1",1,IF(D15="Internal Integration Pattern Name 2",1,IF(D15="Internal Integration Pattern Name 3",1,IF(D15="Internal Integration Pattern Name 4",1,IF(D15="Internal Integration Pattern Name 5",1,IF(D15="Internal Integration Pattern Name 6",1,IF(D15="Internal Integration is not a requirement",1,IF(D15="Multiple Approved Internal Integration Patterns",1,0))))))))</f>
        <v>1</v>
      </c>
      <c r="F15" s="28"/>
      <c r="G15" s="37" t="s">
        <v>79</v>
      </c>
    </row>
    <row r="16" spans="1:7" ht="31.5" x14ac:dyDescent="0.25">
      <c r="A16" s="26" t="s">
        <v>7</v>
      </c>
      <c r="B16" s="26" t="s">
        <v>25</v>
      </c>
      <c r="C16" s="25" t="s">
        <v>80</v>
      </c>
      <c r="D16" s="43" t="s">
        <v>9</v>
      </c>
      <c r="E16" s="27">
        <f>IF(D16 = "Yes",1,IF(D16 = "N/A",1,0))</f>
        <v>1</v>
      </c>
      <c r="F16" s="28"/>
      <c r="G16" s="37" t="s">
        <v>81</v>
      </c>
    </row>
    <row r="17" spans="1:7" ht="110.25" x14ac:dyDescent="0.25">
      <c r="A17" s="26" t="s">
        <v>7</v>
      </c>
      <c r="B17" s="26" t="s">
        <v>27</v>
      </c>
      <c r="C17" s="25" t="s">
        <v>28</v>
      </c>
      <c r="D17" s="43" t="s">
        <v>82</v>
      </c>
      <c r="E17" s="27">
        <f>IF(D17 = "Yes",1,IF(D17 = "Not Final ARB",1,0))</f>
        <v>1</v>
      </c>
      <c r="G17" s="39" t="s">
        <v>24</v>
      </c>
    </row>
    <row r="18" spans="1:7" x14ac:dyDescent="0.25">
      <c r="A18" s="26" t="s">
        <v>7</v>
      </c>
      <c r="B18" s="26" t="s">
        <v>27</v>
      </c>
      <c r="C18" s="25" t="s">
        <v>29</v>
      </c>
      <c r="D18" s="43" t="s">
        <v>9</v>
      </c>
      <c r="E18" s="27">
        <f>IF(D18="Yes",1,IF(D18="N/A",1,0))</f>
        <v>1</v>
      </c>
      <c r="F18" s="28"/>
      <c r="G18" s="37"/>
    </row>
    <row r="19" spans="1:7" ht="47.25" x14ac:dyDescent="0.25">
      <c r="A19" s="26" t="s">
        <v>7</v>
      </c>
      <c r="B19" s="26"/>
      <c r="C19" s="25" t="s">
        <v>30</v>
      </c>
      <c r="D19" s="43" t="s">
        <v>83</v>
      </c>
      <c r="E19" s="27">
        <f>IF(D19="Yes",1,IF(D19="Not Applicable For This Type of ARB",1,0))</f>
        <v>1</v>
      </c>
      <c r="F19" s="28"/>
      <c r="G19" s="37"/>
    </row>
    <row r="20" spans="1:7" ht="31.5" x14ac:dyDescent="0.25">
      <c r="A20" s="26" t="s">
        <v>7</v>
      </c>
      <c r="B20" s="26"/>
      <c r="C20" s="25" t="s">
        <v>31</v>
      </c>
      <c r="D20" s="43" t="s">
        <v>84</v>
      </c>
      <c r="E20" s="27">
        <f>IF(D20="Ping",1,IF(D20="PingOne",1,IF(D20="ISAM",1,IF(D20="TACACS+",1,IF(D20="OKTA",1,IF(D20="Identity is not a part of the solution",1,0))))))</f>
        <v>1</v>
      </c>
      <c r="F20" s="28"/>
      <c r="G20" s="37"/>
    </row>
    <row r="21" spans="1:7" x14ac:dyDescent="0.25">
      <c r="A21" s="26" t="s">
        <v>7</v>
      </c>
      <c r="B21" s="26"/>
      <c r="C21" s="25" t="s">
        <v>32</v>
      </c>
      <c r="D21" s="43" t="s">
        <v>85</v>
      </c>
      <c r="E21" s="27">
        <f>IF(D21 = "CyberArk",1,IF(D21 = "AWS Secrets Manager",1,IF(D21 = "Secrets management is not a requirement",1,0)))</f>
        <v>1</v>
      </c>
      <c r="F21" s="28"/>
      <c r="G21" s="37"/>
    </row>
    <row r="22" spans="1:7" ht="31.5" x14ac:dyDescent="0.25">
      <c r="A22" s="26" t="s">
        <v>33</v>
      </c>
      <c r="B22" s="26"/>
      <c r="C22" s="25" t="s">
        <v>34</v>
      </c>
      <c r="D22" s="43" t="s">
        <v>86</v>
      </c>
      <c r="E22" s="27">
        <f>IF(D22="Yes - TRA Is Required and Complete",1,IF(D22="No - TRA Is Not Required",1,0))</f>
        <v>0</v>
      </c>
      <c r="F22" s="28"/>
      <c r="G22" s="41" t="s">
        <v>35</v>
      </c>
    </row>
    <row r="23" spans="1:7" ht="31.5" x14ac:dyDescent="0.25">
      <c r="A23" s="26" t="s">
        <v>33</v>
      </c>
      <c r="B23" s="26"/>
      <c r="C23" s="32" t="s">
        <v>36</v>
      </c>
      <c r="D23" s="43" t="s">
        <v>87</v>
      </c>
      <c r="E23" s="27">
        <f>IF(D23="Yes",1,IF(D23="Yes - With Exception",0.5,IF(D23="Not Final ARB",1,0)))</f>
        <v>0.5</v>
      </c>
      <c r="F23" s="28"/>
      <c r="G23" s="41"/>
    </row>
    <row r="24" spans="1:7" ht="31.5" x14ac:dyDescent="0.25">
      <c r="A24" s="26" t="s">
        <v>38</v>
      </c>
      <c r="B24" s="26" t="s">
        <v>38</v>
      </c>
      <c r="C24" s="32" t="s">
        <v>88</v>
      </c>
      <c r="D24" s="43" t="s">
        <v>87</v>
      </c>
      <c r="E24" s="27">
        <f>IF(D24="Yes",1,IF(D24="Yes - With Exception",0.5,IF(D24="Not Final ARB",1,0)))</f>
        <v>0.5</v>
      </c>
      <c r="F24" s="28"/>
      <c r="G24" s="37" t="s">
        <v>89</v>
      </c>
    </row>
    <row r="25" spans="1:7" ht="378" x14ac:dyDescent="0.25">
      <c r="A25" s="24" t="s">
        <v>37</v>
      </c>
      <c r="B25" s="31"/>
      <c r="C25" s="29" t="s">
        <v>90</v>
      </c>
      <c r="D25" s="43" t="s">
        <v>91</v>
      </c>
      <c r="E25" s="27">
        <f>IF(D25="Yes",1,IF(D25="Solution Does Not Requre a Data Protection Impact Assessment",1,0))</f>
        <v>1</v>
      </c>
      <c r="F25" s="28"/>
      <c r="G25" s="42" t="s">
        <v>40</v>
      </c>
    </row>
    <row r="26" spans="1:7" ht="31.5" x14ac:dyDescent="0.25">
      <c r="A26" s="26" t="s">
        <v>41</v>
      </c>
      <c r="B26" s="26"/>
      <c r="C26" s="32" t="s">
        <v>92</v>
      </c>
      <c r="D26" s="43" t="s">
        <v>87</v>
      </c>
      <c r="E26" s="27">
        <f>IF(D26="Yes",1,IF(D26="Yes - With Exception",0.5,IF(D26="Not Final ARB",1,0)))</f>
        <v>0.5</v>
      </c>
      <c r="F26" s="28"/>
      <c r="G26" s="37" t="s">
        <v>93</v>
      </c>
    </row>
    <row r="27" spans="1:7" ht="63" x14ac:dyDescent="0.25">
      <c r="A27" s="26" t="s">
        <v>43</v>
      </c>
      <c r="B27" s="26"/>
      <c r="C27" s="29" t="s">
        <v>94</v>
      </c>
      <c r="D27" s="43" t="s">
        <v>56</v>
      </c>
      <c r="E27" s="27">
        <f>IF(D27 = "Yes",1,0)</f>
        <v>0</v>
      </c>
      <c r="G27" s="40" t="s">
        <v>95</v>
      </c>
    </row>
    <row r="28" spans="1:7" ht="31.5" x14ac:dyDescent="0.25">
      <c r="A28" s="24" t="s">
        <v>45</v>
      </c>
      <c r="B28" s="31"/>
      <c r="C28" s="32" t="s">
        <v>96</v>
      </c>
      <c r="D28" s="43" t="s">
        <v>87</v>
      </c>
      <c r="E28" s="27">
        <f>IF(D28="Yes",1,IF(D28="Yes - With Exception",0.5,IF(D28="Not Final ARB",1,0)))</f>
        <v>0.5</v>
      </c>
      <c r="F28" s="28"/>
      <c r="G28" s="37" t="s">
        <v>97</v>
      </c>
    </row>
    <row r="29" spans="1:7" ht="31.5" x14ac:dyDescent="0.25">
      <c r="A29" s="24" t="s">
        <v>45</v>
      </c>
      <c r="B29" s="31" t="s">
        <v>47</v>
      </c>
      <c r="C29" s="29" t="s">
        <v>48</v>
      </c>
      <c r="D29" s="43" t="s">
        <v>56</v>
      </c>
      <c r="E29" s="27">
        <f>IF(D29 = "No",1,IF(D29 = "N/A",1,0))</f>
        <v>1</v>
      </c>
      <c r="F29" s="28"/>
      <c r="G29" s="37"/>
    </row>
    <row r="30" spans="1:7" ht="16.5" thickBot="1" x14ac:dyDescent="0.3"/>
    <row r="31" spans="1:7" ht="32.25" thickBot="1" x14ac:dyDescent="0.3">
      <c r="D31" s="45" t="s">
        <v>0</v>
      </c>
      <c r="E31" s="46">
        <f>SUM(E2:E28)/27</f>
        <v>0.61111111111111116</v>
      </c>
    </row>
  </sheetData>
  <autoFilter ref="A1:G29" xr:uid="{C8F5E862-E634-4BBD-9593-84317083CAE8}"/>
  <sortState xmlns:xlrd2="http://schemas.microsoft.com/office/spreadsheetml/2017/richdata2" ref="A2:G29">
    <sortCondition ref="A2:A29"/>
  </sortState>
  <conditionalFormatting sqref="E3:E4 E6:E29">
    <cfRule type="colorScale" priority="19">
      <colorScale>
        <cfvo type="min"/>
        <cfvo type="max"/>
        <color theme="5" tint="0.59999389629810485"/>
        <color theme="9" tint="0.79998168889431442"/>
      </colorScale>
    </cfRule>
  </conditionalFormatting>
  <conditionalFormatting sqref="E5">
    <cfRule type="colorScale" priority="3">
      <colorScale>
        <cfvo type="min"/>
        <cfvo type="max"/>
        <color theme="5" tint="0.59999389629810485"/>
        <color theme="9" tint="0.79998168889431442"/>
      </colorScale>
    </cfRule>
  </conditionalFormatting>
  <conditionalFormatting sqref="E31">
    <cfRule type="cellIs" dxfId="1" priority="1" operator="between">
      <formula>0.9</formula>
      <formula>1</formula>
    </cfRule>
    <cfRule type="cellIs" dxfId="0" priority="2" operator="between">
      <formula>0</formula>
      <formula>0.899</formula>
    </cfRule>
  </conditionalFormatting>
  <dataValidations count="11">
    <dataValidation type="list" allowBlank="1" showInputMessage="1" showErrorMessage="1" sqref="D30 D32:D1048576" xr:uid="{FE6F4BB9-0DF5-47F3-A794-561319C798E0}">
      <formula1>$R$1:$R$6</formula1>
    </dataValidation>
    <dataValidation type="list" allowBlank="1" showInputMessage="1" showErrorMessage="1" sqref="D3" xr:uid="{275F8836-AF0B-48A3-89E2-B390F1BEBD2B}">
      <formula1>Answers</formula1>
    </dataValidation>
    <dataValidation type="list" allowBlank="1" showInputMessage="1" showErrorMessage="1" sqref="D27" xr:uid="{0278A199-13A3-4E7B-A52B-311A50CAE65D}">
      <formula1>"Yes, No"</formula1>
    </dataValidation>
    <dataValidation type="list" allowBlank="1" showInputMessage="1" showErrorMessage="1" sqref="D27" xr:uid="{856B28FF-9688-4716-A7F8-A5959CED53CC}">
      <formula1>"Yes, No, Don't know"</formula1>
    </dataValidation>
    <dataValidation type="list" allowBlank="1" showInputMessage="1" showErrorMessage="1" sqref="D17" xr:uid="{464F7A72-1EBA-46C5-B4E1-9EF1BE160033}">
      <formula1>"Yes, No, Not Final ARB"</formula1>
    </dataValidation>
    <dataValidation type="list" allowBlank="1" showInputMessage="1" showErrorMessage="1" sqref="D16 D18 D29" xr:uid="{BF58A990-BDF8-49CF-AF64-40EB1408C479}">
      <formula1>"Yes, No, N/A"</formula1>
    </dataValidation>
    <dataValidation type="list" allowBlank="1" showInputMessage="1" showErrorMessage="1" sqref="D25" xr:uid="{037D7C1F-7EC8-4382-A8A6-77467334290A}">
      <formula1>"Yes, No, Solution Does Not Requre a Data Protection Impact Assessment"</formula1>
    </dataValidation>
    <dataValidation type="list" allowBlank="1" showInputMessage="1" showErrorMessage="1" sqref="D6" xr:uid="{8E587C3A-822A-4328-9968-6C511FBA2E81}">
      <formula1>"Yes, No, Not a Final ARB"</formula1>
    </dataValidation>
    <dataValidation type="list" allowBlank="1" showInputMessage="1" showErrorMessage="1" sqref="D19" xr:uid="{7E91E490-6771-436F-B849-15889BB36462}">
      <formula1>"Yes, No, Not Applicable For This Type of ARB"</formula1>
    </dataValidation>
    <dataValidation type="list" allowBlank="1" showInputMessage="1" showErrorMessage="1" sqref="D22" xr:uid="{E450D1C9-74F3-4A9D-82D5-40DAB6DFA96C}">
      <formula1>"Yes - TRA is required and Complete, Yes - TRA is required and not complete, No - TRA is Not Required"</formula1>
    </dataValidation>
    <dataValidation type="list" allowBlank="1" showInputMessage="1" showErrorMessage="1" sqref="D26 D28 D23:D24" xr:uid="{CE3E1335-53C7-4EFD-8B0E-1E356239E764}">
      <formula1>"Yes, Yes - With Exception, No, Not Final ARB"</formula1>
    </dataValidation>
  </dataValidations>
  <hyperlinks>
    <hyperlink ref="G13" r:id="rId1" display="https://aegonna.sharepoint.com/sites/GEA/SitePages/Architecture-Principles.aspx" xr:uid="{1EB0469C-98D4-44D8-A88F-37CA4ADD7DE7}"/>
    <hyperlink ref="G9" r:id="rId2" xr:uid="{54589B64-D1F8-451B-A757-BC75AD7F6C6E}"/>
    <hyperlink ref="G6" r:id="rId3" xr:uid="{BE02F9F6-6ECE-4A7D-BABB-77C00C86AC8A}"/>
    <hyperlink ref="G22" r:id="rId4" xr:uid="{B2115E05-66B8-4BB5-ABD9-74BD6451FB39}"/>
  </hyperlinks>
  <pageMargins left="0.7" right="0.7" top="0.75" bottom="0.75" header="0.3" footer="0.3"/>
  <ignoredErrors>
    <ignoredError sqref="E29 E18 E27" formula="1"/>
  </ignoredError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4C9D6A15-5EF5-428C-B9D2-6C4552070C15}">
          <x14:formula1>
            <xm:f>References!$V$4:$V$10</xm:f>
          </x14:formula1>
          <xm:sqref>D20</xm:sqref>
        </x14:dataValidation>
        <x14:dataValidation type="list" allowBlank="1" showInputMessage="1" showErrorMessage="1" xr:uid="{928976EF-7B34-424F-AE31-53D62DC069A2}">
          <x14:formula1>
            <xm:f>References!$G$4:$G$9</xm:f>
          </x14:formula1>
          <xm:sqref>D10</xm:sqref>
        </x14:dataValidation>
        <x14:dataValidation type="list" allowBlank="1" showInputMessage="1" showErrorMessage="1" xr:uid="{079CAE7C-AAEA-4A1E-B6D2-086C00FCFA38}">
          <x14:formula1>
            <xm:f>References!$F$4:$F$9</xm:f>
          </x14:formula1>
          <xm:sqref>D11</xm:sqref>
        </x14:dataValidation>
        <x14:dataValidation type="list" allowBlank="1" showInputMessage="1" showErrorMessage="1" xr:uid="{DF59E26D-8CB1-4C78-8517-96D4A99ED97C}">
          <x14:formula1>
            <xm:f>References!$T$4:$T$10</xm:f>
          </x14:formula1>
          <xm:sqref>D4</xm:sqref>
        </x14:dataValidation>
        <x14:dataValidation type="list" allowBlank="1" showInputMessage="1" showErrorMessage="1" xr:uid="{529978FC-1C7A-40ED-8940-5F50346A5ACB}">
          <x14:formula1>
            <xm:f>References!$E$4:$E$11</xm:f>
          </x14:formula1>
          <xm:sqref>D12</xm:sqref>
        </x14:dataValidation>
        <x14:dataValidation type="list" allowBlank="1" showInputMessage="1" showErrorMessage="1" xr:uid="{97DC3A47-B7C3-484D-A22C-54F21D56526C}">
          <x14:formula1>
            <xm:f>References!$W$4:$W$8</xm:f>
          </x14:formula1>
          <xm:sqref>D21</xm:sqref>
        </x14:dataValidation>
        <x14:dataValidation type="list" allowBlank="1" showInputMessage="1" showErrorMessage="1" xr:uid="{48461D91-05CC-4DC0-B2DC-D8969994CD34}">
          <x14:formula1>
            <xm:f>References!$L$4:$L$8</xm:f>
          </x14:formula1>
          <xm:sqref>D13</xm:sqref>
        </x14:dataValidation>
        <x14:dataValidation type="list" allowBlank="1" showInputMessage="1" showErrorMessage="1" xr:uid="{7AAAEB8F-A633-4863-A6EC-3562A72BFAB8}">
          <x14:formula1>
            <xm:f>References!$I$4:$I$9</xm:f>
          </x14:formula1>
          <xm:sqref>D8</xm:sqref>
        </x14:dataValidation>
        <x14:dataValidation type="list" allowBlank="1" showInputMessage="1" showErrorMessage="1" xr:uid="{FD43B511-E19E-4BF5-A51A-53B111FAA42C}">
          <x14:formula1>
            <xm:f>References!$D$4:$D$10</xm:f>
          </x14:formula1>
          <xm:sqref>D7:D8</xm:sqref>
        </x14:dataValidation>
        <x14:dataValidation type="list" allowBlank="1" showInputMessage="1" showErrorMessage="1" xr:uid="{E5F26641-54D0-4234-A581-15A0375FCD14}">
          <x14:formula1>
            <xm:f>References!$U$4:$U$14</xm:f>
          </x14:formula1>
          <xm:sqref>D5</xm:sqref>
        </x14:dataValidation>
        <x14:dataValidation type="list" allowBlank="1" showInputMessage="1" showErrorMessage="1" xr:uid="{5C518A7F-0628-4107-8C63-3897022ED4DB}">
          <x14:formula1>
            <xm:f>References!$Y$4:$Y$12</xm:f>
          </x14:formula1>
          <xm:sqref>D2</xm:sqref>
        </x14:dataValidation>
        <x14:dataValidation type="list" allowBlank="1" showInputMessage="1" showErrorMessage="1" xr:uid="{DB8AF89C-62AD-4A82-895D-FDBAC09B3A54}">
          <x14:formula1>
            <xm:f>References!$K$4:$K$8</xm:f>
          </x14:formula1>
          <xm:sqref>D9</xm:sqref>
        </x14:dataValidation>
        <x14:dataValidation type="list" allowBlank="1" showInputMessage="1" showErrorMessage="1" xr:uid="{2C5346EC-ACA7-487E-81FE-BB81DA11148E}">
          <x14:formula1>
            <xm:f>References!$H$4:$H$12</xm:f>
          </x14:formula1>
          <xm:sqref>D14</xm:sqref>
        </x14:dataValidation>
        <x14:dataValidation type="list" allowBlank="1" showInputMessage="1" showErrorMessage="1" xr:uid="{0512AAC3-CA3C-4A24-9DBF-1B059D0FA23F}">
          <x14:formula1>
            <xm:f>References!$J$4:$J$12</xm:f>
          </x14:formula1>
          <xm:sqref>D15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1053-1187-4D59-B7AA-0F9152EADFF2}">
  <dimension ref="A3:AA36"/>
  <sheetViews>
    <sheetView topLeftCell="U1" workbookViewId="0">
      <selection activeCell="V6" sqref="V6"/>
    </sheetView>
  </sheetViews>
  <sheetFormatPr defaultColWidth="8.625" defaultRowHeight="15.75" x14ac:dyDescent="0.25"/>
  <cols>
    <col min="1" max="1" width="23.125" customWidth="1"/>
    <col min="4" max="4" width="38.625" bestFit="1" customWidth="1"/>
    <col min="5" max="5" width="59.625" customWidth="1"/>
    <col min="6" max="6" width="32.625" customWidth="1"/>
    <col min="7" max="8" width="26.125" customWidth="1"/>
    <col min="9" max="10" width="35.125" customWidth="1"/>
    <col min="11" max="11" width="39.125" customWidth="1"/>
    <col min="12" max="12" width="10.625" customWidth="1"/>
    <col min="13" max="13" width="21.625" bestFit="1" customWidth="1"/>
    <col min="14" max="18" width="21.625" customWidth="1"/>
    <col min="19" max="19" width="19.625" bestFit="1" customWidth="1"/>
    <col min="20" max="20" width="19.625" customWidth="1"/>
    <col min="21" max="21" width="20.5" bestFit="1" customWidth="1"/>
    <col min="22" max="22" width="32.625" customWidth="1"/>
    <col min="23" max="23" width="42.125" bestFit="1" customWidth="1"/>
    <col min="24" max="24" width="14.625" bestFit="1" customWidth="1"/>
    <col min="25" max="25" width="46.125" bestFit="1" customWidth="1"/>
    <col min="26" max="26" width="22.125" customWidth="1"/>
    <col min="27" max="27" width="50.375" customWidth="1"/>
  </cols>
  <sheetData>
    <row r="3" spans="1:27" ht="63" x14ac:dyDescent="0.25">
      <c r="A3" t="s">
        <v>98</v>
      </c>
      <c r="D3" s="4" t="s">
        <v>99</v>
      </c>
      <c r="E3" s="4" t="s">
        <v>100</v>
      </c>
      <c r="F3" s="4" t="s">
        <v>101</v>
      </c>
      <c r="G3" s="4" t="s">
        <v>102</v>
      </c>
      <c r="H3" s="4" t="s">
        <v>103</v>
      </c>
      <c r="I3" s="4" t="s">
        <v>104</v>
      </c>
      <c r="J3" s="4" t="s">
        <v>105</v>
      </c>
      <c r="K3" s="4" t="s">
        <v>17</v>
      </c>
      <c r="L3" s="4" t="s">
        <v>106</v>
      </c>
      <c r="M3" s="4" t="s">
        <v>107</v>
      </c>
      <c r="N3" s="4" t="s">
        <v>108</v>
      </c>
      <c r="O3" s="4" t="s">
        <v>109</v>
      </c>
      <c r="P3" s="4" t="s">
        <v>110</v>
      </c>
      <c r="Q3" s="4" t="s">
        <v>111</v>
      </c>
      <c r="R3" s="4" t="s">
        <v>112</v>
      </c>
      <c r="S3" s="4" t="s">
        <v>113</v>
      </c>
      <c r="T3" s="4" t="s">
        <v>114</v>
      </c>
      <c r="U3" s="4" t="s">
        <v>115</v>
      </c>
      <c r="V3" s="4" t="s">
        <v>116</v>
      </c>
      <c r="W3" s="4" t="s">
        <v>117</v>
      </c>
      <c r="X3" s="4" t="s">
        <v>118</v>
      </c>
      <c r="Y3" s="4" t="s">
        <v>119</v>
      </c>
      <c r="Z3" s="4" t="s">
        <v>120</v>
      </c>
      <c r="AA3" s="4" t="s">
        <v>240</v>
      </c>
    </row>
    <row r="4" spans="1:27" ht="31.5" x14ac:dyDescent="0.25">
      <c r="A4" t="s">
        <v>121</v>
      </c>
      <c r="D4" s="1" t="s">
        <v>122</v>
      </c>
      <c r="E4" s="1" t="s">
        <v>123</v>
      </c>
      <c r="F4" s="1" t="s">
        <v>124</v>
      </c>
      <c r="G4" s="22" t="s">
        <v>125</v>
      </c>
      <c r="H4" s="22" t="s">
        <v>126</v>
      </c>
      <c r="I4" s="22" t="s">
        <v>127</v>
      </c>
      <c r="J4" s="22" t="s">
        <v>128</v>
      </c>
      <c r="K4" s="1" t="s">
        <v>129</v>
      </c>
      <c r="L4" s="1" t="s">
        <v>56</v>
      </c>
      <c r="M4" s="1" t="s">
        <v>130</v>
      </c>
      <c r="N4" s="2" t="s">
        <v>51</v>
      </c>
      <c r="O4" s="2" t="s">
        <v>51</v>
      </c>
      <c r="P4" s="2" t="s">
        <v>51</v>
      </c>
      <c r="Q4" s="2" t="s">
        <v>131</v>
      </c>
      <c r="R4" s="2">
        <v>0</v>
      </c>
      <c r="S4" s="6" t="s">
        <v>132</v>
      </c>
      <c r="T4" s="2" t="s">
        <v>133</v>
      </c>
      <c r="U4" s="2" t="s">
        <v>54</v>
      </c>
      <c r="V4" s="2" t="s">
        <v>84</v>
      </c>
      <c r="W4" s="2" t="s">
        <v>134</v>
      </c>
      <c r="X4" s="2" t="s">
        <v>135</v>
      </c>
      <c r="Y4" s="2" t="s">
        <v>136</v>
      </c>
      <c r="Z4" s="2" t="s">
        <v>51</v>
      </c>
      <c r="AA4" s="2" t="s">
        <v>251</v>
      </c>
    </row>
    <row r="5" spans="1:27" ht="31.5" x14ac:dyDescent="0.25">
      <c r="D5" s="1" t="s">
        <v>137</v>
      </c>
      <c r="E5" s="1" t="s">
        <v>138</v>
      </c>
      <c r="F5" s="1" t="s">
        <v>139</v>
      </c>
      <c r="G5" s="22" t="s">
        <v>140</v>
      </c>
      <c r="H5" s="22" t="s">
        <v>141</v>
      </c>
      <c r="I5" s="22" t="s">
        <v>142</v>
      </c>
      <c r="J5" s="22" t="s">
        <v>143</v>
      </c>
      <c r="K5" s="1" t="s">
        <v>144</v>
      </c>
      <c r="L5" s="2" t="s">
        <v>73</v>
      </c>
      <c r="M5" s="2" t="s">
        <v>145</v>
      </c>
      <c r="N5" s="2" t="s">
        <v>56</v>
      </c>
      <c r="O5" s="2" t="s">
        <v>56</v>
      </c>
      <c r="P5" s="2" t="s">
        <v>56</v>
      </c>
      <c r="Q5" s="2" t="s">
        <v>146</v>
      </c>
      <c r="R5" s="2">
        <v>1</v>
      </c>
      <c r="S5" s="6" t="s">
        <v>7</v>
      </c>
      <c r="T5" s="2" t="s">
        <v>147</v>
      </c>
      <c r="U5" s="2" t="s">
        <v>148</v>
      </c>
      <c r="V5" s="2" t="s">
        <v>149</v>
      </c>
      <c r="W5" s="2" t="s">
        <v>85</v>
      </c>
      <c r="X5" s="2" t="s">
        <v>150</v>
      </c>
      <c r="Y5" s="2" t="s">
        <v>50</v>
      </c>
      <c r="Z5" s="2" t="s">
        <v>56</v>
      </c>
      <c r="AA5" s="2" t="s">
        <v>51</v>
      </c>
    </row>
    <row r="6" spans="1:27" ht="63" x14ac:dyDescent="0.25">
      <c r="D6" s="1" t="s">
        <v>151</v>
      </c>
      <c r="E6" s="1" t="s">
        <v>152</v>
      </c>
      <c r="F6" s="1" t="s">
        <v>153</v>
      </c>
      <c r="G6" s="21" t="s">
        <v>154</v>
      </c>
      <c r="H6" s="22" t="s">
        <v>155</v>
      </c>
      <c r="I6" s="22" t="s">
        <v>156</v>
      </c>
      <c r="J6" s="22" t="s">
        <v>157</v>
      </c>
      <c r="K6" s="1" t="s">
        <v>158</v>
      </c>
      <c r="L6" s="2" t="s">
        <v>9</v>
      </c>
      <c r="M6" s="2" t="s">
        <v>159</v>
      </c>
      <c r="N6" s="2" t="s">
        <v>160</v>
      </c>
      <c r="O6" s="21" t="s">
        <v>161</v>
      </c>
      <c r="P6" s="21" t="s">
        <v>162</v>
      </c>
      <c r="Q6" s="21" t="s">
        <v>163</v>
      </c>
      <c r="R6" s="2">
        <v>2</v>
      </c>
      <c r="S6" s="6" t="s">
        <v>43</v>
      </c>
      <c r="T6" s="2" t="s">
        <v>164</v>
      </c>
      <c r="U6" s="2" t="s">
        <v>165</v>
      </c>
      <c r="V6" s="2" t="s">
        <v>166</v>
      </c>
      <c r="W6" s="2" t="s">
        <v>167</v>
      </c>
      <c r="X6" s="2" t="s">
        <v>168</v>
      </c>
      <c r="Y6" s="2" t="s">
        <v>169</v>
      </c>
      <c r="Z6" s="2" t="s">
        <v>9</v>
      </c>
      <c r="AA6" s="2" t="s">
        <v>56</v>
      </c>
    </row>
    <row r="7" spans="1:27" ht="47.25" x14ac:dyDescent="0.25">
      <c r="D7" s="1" t="s">
        <v>170</v>
      </c>
      <c r="E7" s="1" t="s">
        <v>171</v>
      </c>
      <c r="F7" s="1" t="s">
        <v>172</v>
      </c>
      <c r="G7" s="2" t="s">
        <v>173</v>
      </c>
      <c r="H7" s="22" t="s">
        <v>174</v>
      </c>
      <c r="I7" s="22" t="s">
        <v>175</v>
      </c>
      <c r="J7" s="22" t="s">
        <v>176</v>
      </c>
      <c r="K7" s="1" t="s">
        <v>177</v>
      </c>
      <c r="L7" s="2" t="s">
        <v>51</v>
      </c>
      <c r="M7" s="2" t="s">
        <v>178</v>
      </c>
      <c r="N7" s="2" t="s">
        <v>179</v>
      </c>
      <c r="O7" s="2"/>
      <c r="P7" s="2"/>
      <c r="Q7" s="21" t="s">
        <v>180</v>
      </c>
      <c r="R7" s="2">
        <v>3</v>
      </c>
      <c r="S7" s="6" t="s">
        <v>45</v>
      </c>
      <c r="T7" s="2" t="s">
        <v>181</v>
      </c>
      <c r="U7" s="2" t="s">
        <v>182</v>
      </c>
      <c r="V7" s="2" t="s">
        <v>183</v>
      </c>
      <c r="W7" s="2" t="s">
        <v>184</v>
      </c>
      <c r="X7" s="2" t="s">
        <v>185</v>
      </c>
      <c r="Y7" s="2" t="s">
        <v>186</v>
      </c>
      <c r="AA7" s="2" t="s">
        <v>82</v>
      </c>
    </row>
    <row r="8" spans="1:27" ht="31.5" x14ac:dyDescent="0.25">
      <c r="D8" s="1" t="s">
        <v>187</v>
      </c>
      <c r="E8" s="1" t="s">
        <v>188</v>
      </c>
      <c r="F8" s="1" t="s">
        <v>189</v>
      </c>
      <c r="G8" s="2" t="s">
        <v>190</v>
      </c>
      <c r="H8" s="22" t="s">
        <v>191</v>
      </c>
      <c r="I8" s="2" t="s">
        <v>192</v>
      </c>
      <c r="J8" s="22" t="s">
        <v>193</v>
      </c>
      <c r="K8" s="2" t="s">
        <v>194</v>
      </c>
      <c r="L8" s="2" t="s">
        <v>195</v>
      </c>
      <c r="M8" s="2" t="s">
        <v>196</v>
      </c>
      <c r="N8" s="2"/>
      <c r="O8" s="2"/>
      <c r="P8" s="2"/>
      <c r="Q8" s="2" t="s">
        <v>197</v>
      </c>
      <c r="R8" s="2">
        <v>4</v>
      </c>
      <c r="S8" s="6" t="s">
        <v>198</v>
      </c>
      <c r="T8" s="2" t="s">
        <v>199</v>
      </c>
      <c r="U8" s="2" t="s">
        <v>200</v>
      </c>
      <c r="V8" s="2" t="s">
        <v>201</v>
      </c>
      <c r="W8" s="2" t="s">
        <v>202</v>
      </c>
      <c r="X8" s="2" t="s">
        <v>203</v>
      </c>
      <c r="Y8" s="2" t="s">
        <v>204</v>
      </c>
      <c r="AA8" s="2" t="s">
        <v>239</v>
      </c>
    </row>
    <row r="9" spans="1:27" ht="31.5" x14ac:dyDescent="0.25">
      <c r="D9" s="2" t="s">
        <v>205</v>
      </c>
      <c r="E9" s="1" t="s">
        <v>206</v>
      </c>
      <c r="F9" s="2" t="s">
        <v>68</v>
      </c>
      <c r="G9" s="2" t="s">
        <v>65</v>
      </c>
      <c r="H9" s="22" t="s">
        <v>207</v>
      </c>
      <c r="I9" s="2" t="s">
        <v>61</v>
      </c>
      <c r="J9" s="22" t="s">
        <v>208</v>
      </c>
      <c r="K9" s="2" t="s">
        <v>63</v>
      </c>
      <c r="L9" s="2"/>
      <c r="M9" s="2" t="s">
        <v>209</v>
      </c>
      <c r="N9" s="2"/>
      <c r="O9" s="2"/>
      <c r="P9" s="2"/>
      <c r="Q9" s="2"/>
      <c r="R9" s="2">
        <v>9</v>
      </c>
      <c r="S9" s="6" t="s">
        <v>210</v>
      </c>
      <c r="T9" s="2" t="s">
        <v>211</v>
      </c>
      <c r="U9" s="2" t="s">
        <v>212</v>
      </c>
      <c r="V9" s="2" t="s">
        <v>281</v>
      </c>
      <c r="X9" s="2" t="s">
        <v>213</v>
      </c>
      <c r="Y9" s="2" t="s">
        <v>214</v>
      </c>
    </row>
    <row r="10" spans="1:27" ht="31.5" x14ac:dyDescent="0.25">
      <c r="D10" s="2" t="s">
        <v>58</v>
      </c>
      <c r="E10" s="2" t="s">
        <v>215</v>
      </c>
      <c r="H10" s="21" t="s">
        <v>75</v>
      </c>
      <c r="I10" s="22"/>
      <c r="J10" s="22" t="s">
        <v>78</v>
      </c>
      <c r="L10" s="2"/>
      <c r="T10" s="2" t="s">
        <v>216</v>
      </c>
      <c r="U10" s="2" t="s">
        <v>217</v>
      </c>
      <c r="V10" s="2" t="s">
        <v>211</v>
      </c>
      <c r="X10" s="2" t="s">
        <v>219</v>
      </c>
      <c r="Y10" s="2" t="s">
        <v>220</v>
      </c>
    </row>
    <row r="11" spans="1:27" x14ac:dyDescent="0.25">
      <c r="E11" s="2" t="s">
        <v>71</v>
      </c>
      <c r="H11" s="21" t="s">
        <v>211</v>
      </c>
      <c r="I11" s="22"/>
      <c r="J11" s="22" t="s">
        <v>211</v>
      </c>
      <c r="T11" s="2" t="s">
        <v>9</v>
      </c>
      <c r="U11" s="2" t="s">
        <v>221</v>
      </c>
      <c r="V11" s="2" t="s">
        <v>218</v>
      </c>
      <c r="X11" s="2" t="s">
        <v>222</v>
      </c>
      <c r="Y11" s="2" t="s">
        <v>223</v>
      </c>
    </row>
    <row r="12" spans="1:27" ht="31.5" x14ac:dyDescent="0.25">
      <c r="H12" s="21" t="s">
        <v>224</v>
      </c>
      <c r="J12" s="22" t="s">
        <v>225</v>
      </c>
      <c r="U12" s="2" t="s">
        <v>226</v>
      </c>
      <c r="X12" s="2" t="s">
        <v>227</v>
      </c>
      <c r="Y12" s="2" t="s">
        <v>228</v>
      </c>
    </row>
    <row r="13" spans="1:27" x14ac:dyDescent="0.25">
      <c r="U13" s="2" t="s">
        <v>229</v>
      </c>
      <c r="X13" s="2" t="s">
        <v>230</v>
      </c>
    </row>
    <row r="14" spans="1:27" x14ac:dyDescent="0.25">
      <c r="U14" s="2" t="s">
        <v>197</v>
      </c>
    </row>
    <row r="15" spans="1:27" x14ac:dyDescent="0.25">
      <c r="U15" s="2" t="s">
        <v>9</v>
      </c>
    </row>
    <row r="16" spans="1:27" x14ac:dyDescent="0.25">
      <c r="U16" s="2"/>
    </row>
    <row r="27" spans="4:19" ht="16.5" thickBot="1" x14ac:dyDescent="0.3">
      <c r="D27" s="10"/>
      <c r="E27" s="10"/>
      <c r="F27" s="10"/>
      <c r="G27" s="10"/>
      <c r="H27" s="10"/>
      <c r="I27" s="10"/>
      <c r="J27" s="10"/>
      <c r="K27" s="10"/>
      <c r="L27" s="10" t="s">
        <v>231</v>
      </c>
      <c r="M27" s="10" t="s">
        <v>232</v>
      </c>
      <c r="N27" s="10"/>
      <c r="O27" s="10"/>
      <c r="P27" s="10"/>
      <c r="Q27" s="10"/>
      <c r="R27" s="10"/>
      <c r="S27" s="11" t="s">
        <v>233</v>
      </c>
    </row>
    <row r="28" spans="4:19" x14ac:dyDescent="0.25">
      <c r="D28" s="7"/>
      <c r="E28" s="7"/>
      <c r="F28" s="7"/>
      <c r="G28" s="7"/>
      <c r="H28" s="7"/>
      <c r="I28" s="7"/>
      <c r="J28" s="7"/>
      <c r="K28" s="7"/>
      <c r="L28" s="17">
        <v>45161</v>
      </c>
      <c r="M28" s="7" t="s">
        <v>234</v>
      </c>
      <c r="N28" s="7"/>
      <c r="O28" s="7"/>
      <c r="P28" s="7"/>
      <c r="Q28" s="7"/>
      <c r="R28" s="7"/>
      <c r="S28" s="12" t="s">
        <v>235</v>
      </c>
    </row>
    <row r="29" spans="4:19" x14ac:dyDescent="0.25">
      <c r="D29" s="7"/>
      <c r="E29" s="7"/>
      <c r="F29" s="7"/>
      <c r="G29" s="7"/>
      <c r="H29" s="7"/>
      <c r="I29" s="7"/>
      <c r="J29" s="7"/>
      <c r="K29" s="7"/>
      <c r="L29" s="17">
        <v>45300</v>
      </c>
      <c r="M29" s="7" t="s">
        <v>234</v>
      </c>
      <c r="N29" s="7"/>
      <c r="O29" s="7"/>
      <c r="P29" s="7"/>
      <c r="Q29" s="7"/>
      <c r="R29" s="7"/>
      <c r="S29" s="12" t="s">
        <v>236</v>
      </c>
    </row>
    <row r="30" spans="4:19" x14ac:dyDescent="0.25">
      <c r="D30" s="9"/>
      <c r="E30" s="9"/>
      <c r="F30" s="9"/>
      <c r="G30" s="9"/>
      <c r="H30" s="9"/>
      <c r="I30" s="9"/>
      <c r="J30" s="9"/>
      <c r="K30" s="9"/>
      <c r="L30" s="18"/>
      <c r="M30" s="9"/>
      <c r="N30" s="9"/>
      <c r="O30" s="9"/>
      <c r="P30" s="9"/>
      <c r="Q30" s="9"/>
      <c r="R30" s="9"/>
      <c r="S30" s="13"/>
    </row>
    <row r="31" spans="4:19" x14ac:dyDescent="0.25">
      <c r="D31" s="8"/>
      <c r="E31" s="8"/>
      <c r="F31" s="8"/>
      <c r="G31" s="8"/>
      <c r="H31" s="8"/>
      <c r="I31" s="8"/>
      <c r="J31" s="8"/>
      <c r="K31" s="8"/>
      <c r="L31" s="19"/>
      <c r="M31" s="8"/>
      <c r="N31" s="8"/>
      <c r="O31" s="8"/>
      <c r="P31" s="8"/>
      <c r="Q31" s="8"/>
      <c r="R31" s="8"/>
      <c r="S31" s="14"/>
    </row>
    <row r="32" spans="4:19" x14ac:dyDescent="0.25">
      <c r="D32" s="9"/>
      <c r="E32" s="9"/>
      <c r="F32" s="9"/>
      <c r="G32" s="9"/>
      <c r="H32" s="9"/>
      <c r="I32" s="9"/>
      <c r="J32" s="9"/>
      <c r="K32" s="9"/>
      <c r="L32" s="18"/>
      <c r="M32" s="9"/>
      <c r="N32" s="9"/>
      <c r="O32" s="9"/>
      <c r="P32" s="9"/>
      <c r="Q32" s="9"/>
      <c r="R32" s="9"/>
      <c r="S32" s="13"/>
    </row>
    <row r="33" spans="4:19" x14ac:dyDescent="0.25">
      <c r="D33" s="8"/>
      <c r="E33" s="8"/>
      <c r="F33" s="8"/>
      <c r="G33" s="8"/>
      <c r="H33" s="8"/>
      <c r="I33" s="8"/>
      <c r="J33" s="8"/>
      <c r="K33" s="8"/>
      <c r="L33" s="19"/>
      <c r="M33" s="8"/>
      <c r="N33" s="8"/>
      <c r="O33" s="8"/>
      <c r="P33" s="8"/>
      <c r="Q33" s="8"/>
      <c r="R33" s="8"/>
      <c r="S33" s="14"/>
    </row>
    <row r="34" spans="4:19" x14ac:dyDescent="0.25">
      <c r="D34" s="9"/>
      <c r="E34" s="9"/>
      <c r="F34" s="9"/>
      <c r="G34" s="9"/>
      <c r="H34" s="9"/>
      <c r="I34" s="9"/>
      <c r="J34" s="9"/>
      <c r="K34" s="9"/>
      <c r="L34" s="18"/>
      <c r="M34" s="9"/>
      <c r="N34" s="9"/>
      <c r="O34" s="9"/>
      <c r="P34" s="9"/>
      <c r="Q34" s="9"/>
      <c r="R34" s="9"/>
      <c r="S34" s="13"/>
    </row>
    <row r="35" spans="4:19" x14ac:dyDescent="0.25">
      <c r="D35" s="8"/>
      <c r="E35" s="8"/>
      <c r="F35" s="8"/>
      <c r="G35" s="8"/>
      <c r="H35" s="8"/>
      <c r="I35" s="8"/>
      <c r="J35" s="8"/>
      <c r="K35" s="8"/>
      <c r="L35" s="19"/>
      <c r="M35" s="8"/>
      <c r="N35" s="8"/>
      <c r="O35" s="8"/>
      <c r="P35" s="8"/>
      <c r="Q35" s="8"/>
      <c r="R35" s="8"/>
      <c r="S35" s="14"/>
    </row>
    <row r="36" spans="4:19" x14ac:dyDescent="0.25">
      <c r="D36" s="15"/>
      <c r="E36" s="15"/>
      <c r="F36" s="15"/>
      <c r="G36" s="15"/>
      <c r="H36" s="15"/>
      <c r="I36" s="15"/>
      <c r="J36" s="15"/>
      <c r="K36" s="15"/>
      <c r="L36" s="20"/>
      <c r="M36" s="15"/>
      <c r="N36" s="15"/>
      <c r="O36" s="15"/>
      <c r="P36" s="15"/>
      <c r="Q36" s="15"/>
      <c r="R36" s="15"/>
      <c r="S36" s="16"/>
    </row>
  </sheetData>
  <sheetProtection algorithmName="SHA-512" hashValue="Xn73ma60WvUaPDWpklhS1Dkbf0TzWMkQxrIIvQX3IHlyNe5kgFCdaD0ISEPui/wr7yFvIxiSuHocl4cv2CzKXQ==" saltValue="kF6EQcbMuSay6uvQ6bJr5Q==" spinCount="100000" sheet="1" objects="1" scenarios="1"/>
  <sortState xmlns:xlrd2="http://schemas.microsoft.com/office/spreadsheetml/2017/richdata2" ref="X4:X13">
    <sortCondition ref="X4:X13"/>
  </sortState>
  <phoneticPr fontId="7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AF3E3634C144D9EC799C876E6F9A3" ma:contentTypeVersion="32" ma:contentTypeDescription="Create a new document." ma:contentTypeScope="" ma:versionID="60e1596b470e64c977d1e4ce9ac99787">
  <xsd:schema xmlns:xsd="http://www.w3.org/2001/XMLSchema" xmlns:xs="http://www.w3.org/2001/XMLSchema" xmlns:p="http://schemas.microsoft.com/office/2006/metadata/properties" xmlns:ns1="http://schemas.microsoft.com/sharepoint/v3" xmlns:ns2="7bc1719e-3073-4a83-a8aa-5d9b5543732c" xmlns:ns3="290f8d83-fd29-439e-ae91-cfcefa340f30" xmlns:ns4="bfe6e0b6-a5a6-435d-956e-8490d4b03c3e" targetNamespace="http://schemas.microsoft.com/office/2006/metadata/properties" ma:root="true" ma:fieldsID="2bba0ad704353081834050430544496a" ns1:_="" ns2:_="" ns3:_="" ns4:_="">
    <xsd:import namespace="http://schemas.microsoft.com/sharepoint/v3"/>
    <xsd:import namespace="7bc1719e-3073-4a83-a8aa-5d9b5543732c"/>
    <xsd:import namespace="290f8d83-fd29-439e-ae91-cfcefa340f30"/>
    <xsd:import namespace="bfe6e0b6-a5a6-435d-956e-8490d4b03c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odel1" minOccurs="0"/>
                <xsd:element ref="ns2:Technology" minOccurs="0"/>
                <xsd:element ref="ns2:AppDomain" minOccurs="0"/>
                <xsd:element ref="ns2:Business_x0020_App" minOccurs="0"/>
                <xsd:element ref="ns2:Keyword" minOccurs="0"/>
                <xsd:element ref="ns2:Pattern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1719e-3073-4a83-a8aa-5d9b55437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odel1" ma:index="21" nillable="true" ma:displayName="Hosting" ma:description="Operational Hosting Model of the Solution" ma:format="Dropdown" ma:internalName="Model1">
      <xsd:simpleType>
        <xsd:restriction base="dms:Choice">
          <xsd:enumeration value="IAAS"/>
          <xsd:enumeration value="PAAS"/>
          <xsd:enumeration value="SAAS"/>
          <xsd:enumeration value="DAAS"/>
          <xsd:enumeration value="AWS"/>
          <xsd:enumeration value="AZURE"/>
          <xsd:enumeration value="GCP"/>
          <xsd:enumeration value="THIRD PARTY"/>
          <xsd:enumeration value="DC"/>
          <xsd:enumeration value="HYBRID"/>
        </xsd:restriction>
      </xsd:simpleType>
    </xsd:element>
    <xsd:element name="Technology" ma:index="22" nillable="true" ma:displayName="Service" ma:description="Architecture or Technology Stack or GTS Service Area" ma:format="Dropdown" ma:internalName="Technology">
      <xsd:simpleType>
        <xsd:union memberTypes="dms:Text">
          <xsd:simpleType>
            <xsd:restriction base="dms:Choice">
              <xsd:enumeration value="SSO"/>
              <xsd:enumeration value="AD"/>
              <xsd:enumeration value="Security"/>
              <xsd:enumeration value="Storage"/>
              <xsd:enumeration value="Container"/>
              <xsd:enumeration value="Windows"/>
              <xsd:enumeration value="Appliance"/>
              <xsd:enumeration value="SQL"/>
              <xsd:enumeration value="MySQL"/>
              <xsd:enumeration value="DB2"/>
              <xsd:enumeration value="ORACLE"/>
              <xsd:enumeration value="Apple"/>
              <xsd:enumeration value="Citrix"/>
              <xsd:enumeration value="VDI"/>
              <xsd:enumeration value="Workspace"/>
              <xsd:enumeration value="O365"/>
              <xsd:enumeration value="Data Lake"/>
              <xsd:enumeration value="Ecosysyem"/>
              <xsd:enumeration value="Network"/>
              <xsd:enumeration value="RA"/>
              <xsd:enumeration value="MQ"/>
              <xsd:enumeration value="SFTP"/>
              <xsd:enumeration value="ISAM"/>
              <xsd:enumeration value="TEL"/>
              <xsd:enumeration value="Service"/>
              <xsd:enumeration value="Application"/>
              <xsd:enumeration value="Development"/>
              <xsd:enumeration value="Plugin"/>
              <xsd:enumeration value="Risk"/>
              <xsd:enumeration value="ITSM"/>
              <xsd:enumeration value="Messaging"/>
              <xsd:enumeration value="Jira"/>
              <xsd:enumeration value="Migration"/>
              <xsd:enumeration value="VPN"/>
              <xsd:enumeration value="PING"/>
              <xsd:enumeration value="OKTA"/>
              <xsd:enumeration value="Web"/>
              <xsd:enumeration value="Social"/>
              <xsd:enumeration value="Chat"/>
              <xsd:enumeration value="Phone"/>
              <xsd:enumeration value="SMS"/>
              <xsd:enumeration value="Video"/>
              <xsd:enumeration value="DR"/>
              <xsd:enumeration value="DLP"/>
              <xsd:enumeration value="CICD"/>
              <xsd:enumeration value="ETL"/>
              <xsd:enumeration value="Compute"/>
              <xsd:enumeration value="Classification"/>
              <xsd:enumeration value="Data"/>
              <xsd:enumeration value="End Point"/>
              <xsd:enumeration value="API"/>
              <xsd:enumeration value="Search"/>
              <xsd:enumeration value="Data Gateway"/>
              <xsd:enumeration value="Mobile"/>
              <xsd:enumeration value="M365"/>
              <xsd:enumeration value="D365"/>
              <xsd:enumeration value="Docker"/>
              <xsd:enumeration value="DNS"/>
              <xsd:enumeration value="LMS"/>
              <xsd:enumeration value="SMTP"/>
              <xsd:enumeration value="LDAP"/>
              <xsd:enumeration value="SIEM"/>
              <xsd:enumeration value="OVA"/>
              <xsd:enumeration value="Identity"/>
              <xsd:enumeration value="Data Protection"/>
              <xsd:enumeration value="ITAM"/>
              <xsd:enumeration value="Cyber Security"/>
            </xsd:restriction>
          </xsd:simpleType>
        </xsd:union>
      </xsd:simpleType>
    </xsd:element>
    <xsd:element name="AppDomain" ma:index="23" nillable="true" ma:displayName="Application" ma:description="Application Area" ma:format="Dropdown" ma:internalName="AppDomain">
      <xsd:simpleType>
        <xsd:restriction base="dms:Choice">
          <xsd:enumeration value="WFM"/>
          <xsd:enumeration value="DMS"/>
          <xsd:enumeration value="CMS"/>
          <xsd:enumeration value="COL"/>
          <xsd:enumeration value="SNOW"/>
          <xsd:enumeration value="LOG"/>
          <xsd:enumeration value="MON"/>
          <xsd:enumeration value="DBA"/>
          <xsd:enumeration value="APM"/>
          <xsd:enumeration value="AM"/>
          <xsd:enumeration value="DLP"/>
          <xsd:enumeration value="SECRETS"/>
          <xsd:enumeration value="PAM"/>
          <xsd:enumeration value="ROB"/>
          <xsd:enumeration value="WEB"/>
          <xsd:enumeration value="SCH"/>
          <xsd:enumeration value="O365"/>
          <xsd:enumeration value="PBI"/>
          <xsd:enumeration value="TEL"/>
          <xsd:enumeration value="AI"/>
          <xsd:enumeration value="FIN"/>
          <xsd:enumeration value="CLD"/>
          <xsd:enumeration value="RA"/>
          <xsd:enumeration value="REF"/>
          <xsd:enumeration value="PS"/>
          <xsd:enumeration value="NET"/>
          <xsd:enumeration value="LIC"/>
          <xsd:enumeration value="RPA"/>
          <xsd:enumeration value="LMS"/>
          <xsd:enumeration value="ERM"/>
          <xsd:enumeration value="ESign"/>
          <xsd:enumeration value="DIR"/>
          <xsd:enumeration value="CRM"/>
          <xsd:enumeration value="DNS"/>
          <xsd:enumeration value="WRK"/>
          <xsd:enumeration value="ANA"/>
          <xsd:enumeration value="CICD"/>
          <xsd:enumeration value="DVM"/>
          <xsd:enumeration value="SFTP"/>
          <xsd:enumeration value="ML"/>
        </xsd:restriction>
      </xsd:simpleType>
    </xsd:element>
    <xsd:element name="Business_x0020_App" ma:index="24" nillable="true" ma:displayName="Domain" ma:default="Unknown" ma:description="Short description of business function, used for seach function" ma:format="Dropdown" ma:internalName="Business_x0020_App">
      <xsd:simpleType>
        <xsd:union memberTypes="dms:Text">
          <xsd:simpleType>
            <xsd:restriction base="dms:Choice">
              <xsd:enumeration value="Pension Calculation"/>
              <xsd:enumeration value="Actuarial"/>
              <xsd:enumeration value="Unknown"/>
              <xsd:enumeration value="Legal"/>
              <xsd:enumeration value="Finance"/>
              <xsd:enumeration value="Mortgages"/>
              <xsd:enumeration value="Funds"/>
              <xsd:enumeration value="Health"/>
              <xsd:enumeration value="Advice"/>
              <xsd:enumeration value="Other"/>
              <xsd:enumeration value="Non-Life"/>
              <xsd:enumeration value="Life"/>
              <xsd:enumeration value="Loan Services"/>
              <xsd:enumeration value="Facilities"/>
              <xsd:enumeration value="Fraud"/>
              <xsd:enumeration value="Global"/>
              <xsd:enumeration value="Assets Management"/>
              <xsd:enumeration value="Service Management"/>
              <xsd:enumeration value="Workplace"/>
              <xsd:enumeration value="Investment Management"/>
              <xsd:enumeration value="Bank"/>
              <xsd:enumeration value="Risk"/>
              <xsd:enumeration value="Security"/>
              <xsd:enumeration value="Sales"/>
              <xsd:enumeration value="External"/>
              <xsd:enumeration value="SIEM"/>
              <xsd:enumeration value="Call Center"/>
              <xsd:enumeration value="Human Resource"/>
              <xsd:enumeration value="Pension"/>
            </xsd:restriction>
          </xsd:simpleType>
        </xsd:union>
      </xsd:simpleType>
    </xsd:element>
    <xsd:element name="Keyword" ma:index="25" nillable="true" ma:displayName="Keyword" ma:description="Unique keyword for search usage" ma:format="Dropdown" ma:internalName="Keyword">
      <xsd:simpleType>
        <xsd:union memberTypes="dms:Text">
          <xsd:simpleType>
            <xsd:restriction base="dms:Choice">
              <xsd:enumeration value="Unknown"/>
            </xsd:restriction>
          </xsd:simpleType>
        </xsd:union>
      </xsd:simpleType>
    </xsd:element>
    <xsd:element name="Pattern" ma:index="26" nillable="true" ma:displayName="Pattern" ma:description="Approved or know pattern" ma:format="Dropdown" ma:internalName="Pattern">
      <xsd:simpleType>
        <xsd:restriction base="dms:Choice">
          <xsd:enumeration value="iChannel"/>
          <xsd:enumeration value="ISAM"/>
          <xsd:enumeration value="B2B"/>
          <xsd:enumeration value="B2C"/>
          <xsd:enumeration value="Hosting"/>
          <xsd:enumeration value="Browsing"/>
          <xsd:enumeration value="EKS"/>
          <xsd:enumeration value="SSO"/>
          <xsd:enumeration value="Inter VPC"/>
          <xsd:enumeration value="AWS to DC"/>
          <xsd:enumeration value="AWS Region"/>
          <xsd:enumeration value="ClamAV"/>
          <xsd:enumeration value="VPC"/>
          <xsd:enumeration value="ServiceNow"/>
          <xsd:enumeration value="Salesforce"/>
          <xsd:enumeration value="Third Party Access"/>
          <xsd:enumeration value="Ping"/>
          <xsd:enumeration value="WAF"/>
          <xsd:enumeration value="Mobile"/>
          <xsd:enumeration value="API"/>
          <xsd:enumeration value="Data Lake"/>
        </xsd:restriction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33ecf46e-890a-4d8f-8227-d99d79ddb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f8d83-fd29-439e-ae91-cfcefa340f3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6e0b6-a5a6-435d-956e-8490d4b03c3e" elementFormDefault="qualified">
    <xsd:import namespace="http://schemas.microsoft.com/office/2006/documentManagement/types"/>
    <xsd:import namespace="http://schemas.microsoft.com/office/infopath/2007/PartnerControls"/>
    <xsd:element name="TaxCatchAll" ma:index="29" nillable="true" ma:displayName="Taxonomy Catch All Column" ma:hidden="true" ma:list="{d1e4a496-b8a4-4beb-a473-f4a6df7ad317}" ma:internalName="TaxCatchAll" ma:showField="CatchAllData" ma:web="290f8d83-fd29-439e-ae91-cfcefa340f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90f8d83-fd29-439e-ae91-cfcefa340f30">
      <UserInfo>
        <DisplayName>Smith, Aaron</DisplayName>
        <AccountId>1127</AccountId>
        <AccountType/>
      </UserInfo>
    </SharedWithUsers>
    <Keyword xmlns="7bc1719e-3073-4a83-a8aa-5d9b5543732c" xsi:nil="true"/>
    <_ip_UnifiedCompliancePolicyUIAction xmlns="http://schemas.microsoft.com/sharepoint/v3" xsi:nil="true"/>
    <AppDomain xmlns="7bc1719e-3073-4a83-a8aa-5d9b5543732c" xsi:nil="true"/>
    <lcf76f155ced4ddcb4097134ff3c332f xmlns="7bc1719e-3073-4a83-a8aa-5d9b5543732c">
      <Terms xmlns="http://schemas.microsoft.com/office/infopath/2007/PartnerControls"/>
    </lcf76f155ced4ddcb4097134ff3c332f>
    <Technology xmlns="7bc1719e-3073-4a83-a8aa-5d9b5543732c" xsi:nil="true"/>
    <TaxCatchAll xmlns="bfe6e0b6-a5a6-435d-956e-8490d4b03c3e" xsi:nil="true"/>
    <Model1 xmlns="7bc1719e-3073-4a83-a8aa-5d9b5543732c" xsi:nil="true"/>
    <_ip_UnifiedCompliancePolicyProperties xmlns="http://schemas.microsoft.com/sharepoint/v3" xsi:nil="true"/>
    <Pattern xmlns="7bc1719e-3073-4a83-a8aa-5d9b5543732c" xsi:nil="true"/>
    <Business_x0020_App xmlns="7bc1719e-3073-4a83-a8aa-5d9b5543732c">Unknown</Business_x0020_App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C52381-827C-4FE8-8F28-947FE54D443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0901BD0-BF80-4C1E-A3FF-495DEEB75F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bc1719e-3073-4a83-a8aa-5d9b5543732c"/>
    <ds:schemaRef ds:uri="290f8d83-fd29-439e-ae91-cfcefa340f30"/>
    <ds:schemaRef ds:uri="bfe6e0b6-a5a6-435d-956e-8490d4b03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53E1DD-8234-476E-AEEE-F356B7F677F6}">
  <ds:schemaRefs>
    <ds:schemaRef ds:uri="http://purl.org/dc/terms/"/>
    <ds:schemaRef ds:uri="http://schemas.openxmlformats.org/package/2006/metadata/core-properties"/>
    <ds:schemaRef ds:uri="64890ed3-1443-4801-af28-560269e5aecc"/>
    <ds:schemaRef ds:uri="http://purl.org/dc/dcmitype/"/>
    <ds:schemaRef ds:uri="a7119a4e-e68f-40ab-b042-1f58d8d72198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290f8d83-fd29-439e-ae91-cfcefa340f30"/>
    <ds:schemaRef ds:uri="7bc1719e-3073-4a83-a8aa-5d9b5543732c"/>
    <ds:schemaRef ds:uri="http://schemas.microsoft.com/sharepoint/v3"/>
    <ds:schemaRef ds:uri="bfe6e0b6-a5a6-435d-956e-8490d4b03c3e"/>
  </ds:schemaRefs>
</ds:datastoreItem>
</file>

<file path=customXml/itemProps4.xml><?xml version="1.0" encoding="utf-8"?>
<ds:datastoreItem xmlns:ds="http://schemas.openxmlformats.org/officeDocument/2006/customXml" ds:itemID="{00BCD2B8-D6BF-4D0F-8892-8D86AFE1EC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Change Log</vt:lpstr>
      <vt:lpstr>Arch Alignment to Standandards</vt:lpstr>
      <vt:lpstr>Pre-Post ARB Checklist</vt:lpstr>
      <vt:lpstr>Score Card-Patterns Futue State</vt:lpstr>
      <vt:lpstr>References</vt:lpstr>
      <vt:lpstr>Answers</vt:lpstr>
      <vt:lpstr>Criteria</vt:lpstr>
      <vt:lpstr>Gateways</vt:lpstr>
      <vt:lpstr>'Arch Alignment to Standandards'!Score</vt:lpstr>
      <vt:lpstr>'Score Card-Patterns Futue State'!Score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Ambiana, Robert</dc:creator>
  <cp:keywords/>
  <dc:description/>
  <cp:lastModifiedBy>Kerbachi, Mohamed - GTS Global ENG &amp; ARCH</cp:lastModifiedBy>
  <cp:revision/>
  <dcterms:created xsi:type="dcterms:W3CDTF">2023-08-10T08:14:23Z</dcterms:created>
  <dcterms:modified xsi:type="dcterms:W3CDTF">2025-03-19T17:13:12Z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0x0101006BDAF3E3634C144D9EC799C876E6F9A3</vt:lpwstr>
  </property>
  <property fmtid="{D5CDD505-2E9C-101B-9397-08002B2CF9AE}" pid="3" name="MediaServiceImageTags">
    <vt:lpwstr/>
  </property>
  <property fmtid="{D5CDD505-2E9C-101B-9397-08002B2CF9AE}" pid="4" name="Order">
    <vt:r8>884900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