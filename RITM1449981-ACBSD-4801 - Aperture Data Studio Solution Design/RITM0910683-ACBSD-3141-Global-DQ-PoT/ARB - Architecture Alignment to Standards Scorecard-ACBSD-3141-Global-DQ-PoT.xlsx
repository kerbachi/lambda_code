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GTS\3141_Global_DQ\ARB\"/>
    </mc:Choice>
  </mc:AlternateContent>
  <xr:revisionPtr revIDLastSave="0" documentId="13_ncr:1_{604EDCE7-DA38-42AC-B7C9-30702CBE4DB7}" xr6:coauthVersionLast="47" xr6:coauthVersionMax="47" xr10:uidLastSave="{00000000-0000-0000-0000-000000000000}"/>
  <bookViews>
    <workbookView xWindow="-108" yWindow="-108" windowWidth="23256" windowHeight="12576" xr2:uid="{5772EEC2-3782-8A48-AB2E-7C685ED1583E}"/>
  </bookViews>
  <sheets>
    <sheet name="Arch Alignment to Standandards" sheetId="11" r:id="rId1"/>
    <sheet name="Pre-Post ARB Checklist" sheetId="12" r:id="rId2"/>
    <sheet name="Score Card-Patterns Futue State" sheetId="10" state="hidden" r:id="rId3"/>
    <sheet name="References" sheetId="8" state="hidden" r:id="rId4"/>
  </sheets>
  <definedNames>
    <definedName name="_xlnm._FilterDatabase" localSheetId="0" hidden="1">'Arch Alignment to Standandards'!$A$2:$G$30</definedName>
    <definedName name="_xlnm._FilterDatabase" localSheetId="2" hidden="1">'Score Card-Patterns Futue State'!$A$1:$G$29</definedName>
    <definedName name="Answers">References!$L$4:$L$7</definedName>
    <definedName name="Category" localSheetId="0">'Arch Alignment to Standandards'!#REF!</definedName>
    <definedName name="Category" localSheetId="2">'Score Card-Patterns Futue State'!#REF!</definedName>
    <definedName name="Category">#REF!</definedName>
    <definedName name="_xlnm.Criteria">References!$S$4:$S$7</definedName>
    <definedName name="Exception_Expiry" localSheetId="0">'Arch Alignment to Standandards'!#REF!</definedName>
    <definedName name="Exception_Expiry" localSheetId="2">'Score Card-Patterns Futue State'!#REF!</definedName>
    <definedName name="Exception_Expiry">#REF!</definedName>
    <definedName name="Exception_Granted" localSheetId="0">'Arch Alignment to Standandards'!#REF!</definedName>
    <definedName name="Exception_Granted" localSheetId="2">'Score Card-Patterns Futue State'!#REF!</definedName>
    <definedName name="Exception_Granted">#REF!</definedName>
    <definedName name="Gateways">References!$M$4:$M$9</definedName>
    <definedName name="Score" localSheetId="0">'Arch Alignment to Standandards'!$E$5:$E$1048576</definedName>
    <definedName name="Score" localSheetId="2">'Score Card-Patterns Futue State'!$E$4:$E$1048576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1" l="1"/>
  <c r="E6" i="11"/>
  <c r="E10" i="11"/>
  <c r="E28" i="11"/>
  <c r="E26" i="11"/>
  <c r="E30" i="11"/>
  <c r="E5" i="11"/>
  <c r="E17" i="11"/>
  <c r="E22" i="11"/>
  <c r="E31" i="10"/>
  <c r="E5" i="10" l="1"/>
  <c r="E16" i="11"/>
  <c r="E15" i="11"/>
  <c r="E13" i="11"/>
  <c r="E11" i="11"/>
  <c r="E12" i="11"/>
  <c r="E9" i="11"/>
  <c r="E8" i="11"/>
  <c r="E29" i="11"/>
  <c r="E27" i="11"/>
  <c r="E25" i="11"/>
  <c r="E24" i="11"/>
  <c r="E23" i="11"/>
  <c r="E21" i="11"/>
  <c r="E20" i="11"/>
  <c r="E19" i="11"/>
  <c r="E18" i="11"/>
  <c r="E14" i="11"/>
  <c r="E4" i="11"/>
  <c r="E4" i="10"/>
  <c r="E23" i="10"/>
  <c r="E24" i="10"/>
  <c r="E28" i="10"/>
  <c r="E26" i="10"/>
  <c r="E25" i="10"/>
  <c r="E15" i="10"/>
  <c r="E22" i="10"/>
  <c r="E19" i="10"/>
  <c r="E14" i="10"/>
  <c r="E6" i="10"/>
  <c r="E27" i="10"/>
  <c r="E17" i="10"/>
  <c r="E16" i="10"/>
  <c r="E13" i="10"/>
  <c r="E3" i="10"/>
  <c r="E29" i="10"/>
  <c r="E18" i="10"/>
  <c r="E7" i="10"/>
  <c r="E8" i="10"/>
  <c r="E21" i="10"/>
  <c r="E9" i="10"/>
  <c r="E12" i="10"/>
  <c r="E20" i="10"/>
  <c r="E11" i="10"/>
  <c r="E10" i="10"/>
  <c r="E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  <author>Apel, Nick</author>
    <author>tc={17CBB31F-8E20-4430-B312-9B96A327FDAF}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  <comment ref="F2" authorId="1" shapeId="0" xr:uid="{0140CED5-E51B-4B60-AC4D-6ECB24AC8857}">
      <text>
        <r>
          <rPr>
            <b/>
            <sz val="9"/>
            <color rgb="FF000000"/>
            <rFont val="Tahoma"/>
            <family val="2"/>
          </rPr>
          <t>Populate this column if Column E indicates the technology solution is not aligned to Architecture Standards OR if an exception was granted for the solution, thereby allowing the solution to be approved with exception.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10" authorId="2" shapeId="0" xr:uid="{17CBB31F-8E20-4430-B312-9B96A327FDAF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these be updated to reflect the move to Platinum, Gold, Silver &amp; Bronze. Is that still happening?</t>
      </text>
    </comment>
  </commentList>
</comments>
</file>

<file path=xl/sharedStrings.xml><?xml version="1.0" encoding="utf-8"?>
<sst xmlns="http://schemas.openxmlformats.org/spreadsheetml/2006/main" count="435" uniqueCount="284">
  <si>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</si>
  <si>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</si>
  <si>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</si>
  <si>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</si>
  <si>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</si>
  <si>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</si>
  <si>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Architecture Risk Exception Link or Justification</t>
  </si>
  <si>
    <t>Where to find more information to be able to answer this question or complete the activity for being able to answer the question</t>
  </si>
  <si>
    <t>Architecture</t>
  </si>
  <si>
    <t>What is the type of archtiecture review board approval requested?</t>
  </si>
  <si>
    <t>N/A</t>
  </si>
  <si>
    <t>https://aegonna.sharepoint.com/sites/GEA/SitePages/Architecture-Exceptions.aspx</t>
  </si>
  <si>
    <t>Has the architecture been peer reviewed and has all feedback been addressed to the reviewers' satisfaction?</t>
  </si>
  <si>
    <t>Will the solution be deployed to an approved environment (Physical DataCenter, AWS, Azure, SaaS, PaaS)?</t>
  </si>
  <si>
    <t>What region is the solution hosted in?</t>
  </si>
  <si>
    <t>If this is a Project Solution - Final ARB, are new Business Applications introduced by the solution registered in CMDB?</t>
  </si>
  <si>
    <t>CMDB Link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</si>
  <si>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</si>
  <si>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</si>
  <si>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</si>
  <si>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</si>
  <si>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</si>
  <si>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</si>
  <si>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</si>
  <si>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</si>
  <si>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</si>
  <si>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</si>
  <si>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</si>
  <si>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If the solution interfaces with an intenal application or exchanges data with an internal application, are the approved patterns for internal integration documented within the solution architecture?</t>
  </si>
  <si>
    <t>CSAT</t>
  </si>
  <si>
    <t xml:space="preserve">If this is a Project Solution - Final ARB, does the solution use approved machine / container images? </t>
  </si>
  <si>
    <t>GEA Review Board, Pre-ARB???</t>
  </si>
  <si>
    <t>If this is a Project Solution - Final ARB, are component standards, architecture design patterns, and reference architectures utilized by the solution in the GTS or Global architecture repository?</t>
  </si>
  <si>
    <t>Has the solution passed the BU Architecture Board review?</t>
  </si>
  <si>
    <t>Within the ARB presentation, is the Impacted Technology Components table populated, including CMDB IDs for all technology components currently in production?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</si>
  <si>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</si>
  <si>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</si>
  <si>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</si>
  <si>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Does this technology solution require a Technology Risk Assessment (TRA) and is the TRA complete?</t>
  </si>
  <si>
    <t>Link to Technology Risk Assessment Sharepoint Site</t>
  </si>
  <si>
    <t>If this is a Final ARB, is GTS Internal Controls &amp; Compliance sign off / approval attached to GTS ARB agenda request?</t>
  </si>
  <si>
    <t>To initiate this request, contact Mark Scarloss</t>
  </si>
  <si>
    <t>Data Privacy</t>
  </si>
  <si>
    <t>Data Governance</t>
  </si>
  <si>
    <t>If this is a Final ARB, is GTS Data Privacy Officer sign off / approval attached to GTS ARB agenda request?</t>
  </si>
  <si>
    <t>To initiate this request, contact Adam Kaminsky</t>
  </si>
  <si>
    <t>If this is a Project Solution - Design or Project Solution - Final ARB, and the solution leverages new data sources or new use cases for data, has a Data Privacy Impact Assessment (DPIA) been completed?</t>
  </si>
  <si>
    <t xml:space="preserve"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
- ICTF P04.01.02 Information Security Classification Standard:
https://aegonna.sharepoint.com/sites/GTS-ICC/Intranet/ITCF/Shared Documents/Forms/AllItems.aspx?id=%2Fsites%2FGTS%2DICC%2FIntranet%2FITCF%2FShared%20Documents%2FEnablers%20%26%20Checklists%2FProtect%20Domain%2FP04%2E01%2E02%20%2D%20Information%20Security%20Classification%20Standard%2Epdf&amp;parent=%2Fsites%2FGTS%2DICC%2FIntranet%2FITCF%2FShared%20Documents%2FEnablers%20%26%20Checklists%2FProtect%20Domain
</t>
  </si>
  <si>
    <t>Infrastructure</t>
  </si>
  <si>
    <t>If there are impacts to Infrastructure, is infrastructure sign off attached to GTS ARB agenda request?</t>
  </si>
  <si>
    <t>Stefan Simenon is the Infrastructure Representative</t>
  </si>
  <si>
    <t>Quality Assurance</t>
  </si>
  <si>
    <t>If this scorecared is for a Project Solution - Final ARB, does the technology lead responsible for the implementation agree that the solution has been tested and is ready for Project Solution - Final ARB?</t>
  </si>
  <si>
    <t>This question is a part of the scorecard to confirm that there are no additional changes that would require a re-validation of the architecture prior to ARB sign off of the Final ARB.</t>
  </si>
  <si>
    <t>Security</t>
  </si>
  <si>
    <t>If this is a Project Solution - Final ARB, is the Security Review completed and sign off / approval attached to GTS ARB agenda request?</t>
  </si>
  <si>
    <t>Representative is in ARB Readiness - Nick Russel, Chad Hunter, or Jeff Bain</t>
  </si>
  <si>
    <t>CCAT</t>
  </si>
  <si>
    <t>Does the solution introduce new critical or high vulnerabilities that are unresolved?</t>
  </si>
  <si>
    <t>Exception - Architecture Risk Exception Link or Justification - Populate this column if Column E indicates the technology solution is not aligned to Architecture Standards or Policies</t>
  </si>
  <si>
    <t>Software/Hardware Acquisition</t>
  </si>
  <si>
    <t>Yes</t>
  </si>
  <si>
    <t>What environment will the solution be deployed to (Physical DataCenter, AWS, Azure, SaaS, PaaS)?</t>
  </si>
  <si>
    <t>Not Applicable</t>
  </si>
  <si>
    <t>US - ADC - Cedar Rapids</t>
  </si>
  <si>
    <t>If this is a project solution - Final ARB, are new technology components introduced by the solution registered in CMDB?</t>
  </si>
  <si>
    <t>No</t>
  </si>
  <si>
    <t>What Observability Pattern is used for the solution?</t>
  </si>
  <si>
    <t>Observability requirement is not defined</t>
  </si>
  <si>
    <t>Link to Observability Patterns needs to be added here</t>
  </si>
  <si>
    <t>What is the Resiliency Pattern for the solution?</t>
  </si>
  <si>
    <t>Resiliency is not a requirement</t>
  </si>
  <si>
    <t>Link to Resiliency Patterns needs to be added here</t>
  </si>
  <si>
    <t>Availability is not a requirement</t>
  </si>
  <si>
    <t>What is the Disaster Recovery Pattern for the solution?</t>
  </si>
  <si>
    <t>DR requirement is not defined</t>
  </si>
  <si>
    <t>Link to Disaster Recovery Patterns needs to be added here</t>
  </si>
  <si>
    <t>What is the Backup Pattern for the solution?</t>
  </si>
  <si>
    <t>Backup requirement is not defined</t>
  </si>
  <si>
    <t>Link to Backup Patterns needs to be added here</t>
  </si>
  <si>
    <t>What is the Deployment Pattern used for the solution?</t>
  </si>
  <si>
    <t>Deployment requirement is not defined</t>
  </si>
  <si>
    <t>Link to Deployment Patterns needs to be added here</t>
  </si>
  <si>
    <t>Partial</t>
  </si>
  <si>
    <t>If the solution interfaces with an application or exchanges data with an application that is a non-Aegon entity, what are the approved pattern(s) used for integration with the third party?</t>
  </si>
  <si>
    <t>Multiple Approved Third Party Integration Patterns</t>
  </si>
  <si>
    <t>Link to Third Party Integration Patterns needs to be added here</t>
  </si>
  <si>
    <t>If the solution interfaces with an intenal application or exchanges data with an internal application, what are the approved pattern(s) used for integration?</t>
  </si>
  <si>
    <t>Multiple Approved Internal Integration Patterns</t>
  </si>
  <si>
    <t>Link to Internal Integration Patterns needs to be added here</t>
  </si>
  <si>
    <t xml:space="preserve">If this is a final ARB, does solution use approved machine / container images? </t>
  </si>
  <si>
    <t>Link to Approved Container/Images Documentation Needs to be Added Here</t>
  </si>
  <si>
    <t>Not Final ARB</t>
  </si>
  <si>
    <t>Not Applicable For This Type of ARB</t>
  </si>
  <si>
    <t>Ping</t>
  </si>
  <si>
    <t>AWS Secrets Manager</t>
  </si>
  <si>
    <t>Yes - TRA is required and not complete</t>
  </si>
  <si>
    <t>Yes - With Exception</t>
  </si>
  <si>
    <t>If this is a Final ARB, is GTS Data Governance sign off / approval attached to GTS ARB agenda request?</t>
  </si>
  <si>
    <t>Instructions for submitting request for Data Governance review need to be added here.</t>
  </si>
  <si>
    <t>If this is a project solution - design or project solution - final ARB, and the solution leverages new data sources or new use cases for data, has a Data Protection Impact Assessment (DPIA) been completed?</t>
  </si>
  <si>
    <t>Solution Does Not Requre a Data Protection Impact Assessment</t>
  </si>
  <si>
    <t>If this is Final ARB and there are impacts to Infrastructure, is infrastructure sign off attached to GTS ARB agenda request?</t>
  </si>
  <si>
    <t>Assigned Infrastructure Manager/Engineer for the initiative is the person to provide the sign off</t>
  </si>
  <si>
    <t>If this scorecared is for a Final ARB, are the test results summary and validation results summary documented and signed off by the technology lead responsible for the implementation</t>
  </si>
  <si>
    <t>This question in a part of the ARB to confirm that there are no additional changes that would require a re-validation of the architecture prior to ARB sign off of the Final ARB.</t>
  </si>
  <si>
    <t>If this is a Final ARB, is the Security Review completed and sign off / approval attached to GTS ARB agenda request?</t>
  </si>
  <si>
    <t>Instructions for initiating Security Review and Sign Off Request need to be added here.</t>
  </si>
  <si>
    <t>Password to unlock cells is:</t>
  </si>
  <si>
    <t>Observability Pattern (If there are various patterns for observability - currently, the question is a yes / no with no impact on score)</t>
  </si>
  <si>
    <t>Deployment Patterns</t>
  </si>
  <si>
    <t>Back Up Pattern</t>
  </si>
  <si>
    <t>Disaster Recovery Pattern</t>
  </si>
  <si>
    <t>Third Party Integration Pattern</t>
  </si>
  <si>
    <t>Resiliency Patterns</t>
  </si>
  <si>
    <t>Internal Integration Pattern</t>
  </si>
  <si>
    <t>Answers</t>
  </si>
  <si>
    <t>Gateways</t>
  </si>
  <si>
    <t>Vulnerabilities</t>
  </si>
  <si>
    <t>Sensitive Data</t>
  </si>
  <si>
    <t>Data Residency</t>
  </si>
  <si>
    <t>Security Risk Rating</t>
  </si>
  <si>
    <t>Gateway Number</t>
  </si>
  <si>
    <t>Criteria</t>
  </si>
  <si>
    <t>Datacenters</t>
  </si>
  <si>
    <t>Regions</t>
  </si>
  <si>
    <t>IDPs</t>
  </si>
  <si>
    <t>Secret Vault</t>
  </si>
  <si>
    <t>Architecture Principles</t>
  </si>
  <si>
    <t>Architecture Review Board Type</t>
  </si>
  <si>
    <t>Yes, No, N/A</t>
  </si>
  <si>
    <t>gea</t>
  </si>
  <si>
    <t>Observability Pattern Name 1</t>
  </si>
  <si>
    <t>Deployment Pattern Name 1</t>
  </si>
  <si>
    <t>Backup Pattern Name 1</t>
  </si>
  <si>
    <t>DR Pattern Name 1</t>
  </si>
  <si>
    <t>Third Party Integration Pattern Name 1</t>
  </si>
  <si>
    <t>Resiliency Pattern Name 1</t>
  </si>
  <si>
    <t>Internal Integration Pattern Name 1</t>
  </si>
  <si>
    <t>99.9% Availability</t>
  </si>
  <si>
    <t>Intake</t>
  </si>
  <si>
    <t>High</t>
  </si>
  <si>
    <t>Compliance</t>
  </si>
  <si>
    <t>Physical Datacenter</t>
  </si>
  <si>
    <t>CyberArk Conjur</t>
  </si>
  <si>
    <t>Capability Driven</t>
  </si>
  <si>
    <t>Proof of Concept</t>
  </si>
  <si>
    <t>Observability Pattern Name 2</t>
  </si>
  <si>
    <t>Deployment Pattern Name 2</t>
  </si>
  <si>
    <t>Backup Pattern Name 2</t>
  </si>
  <si>
    <t>DR Pattern Name 2</t>
  </si>
  <si>
    <t>Third Party Integration Pattern Name 2</t>
  </si>
  <si>
    <t>Resiliency Pattern Name 2</t>
  </si>
  <si>
    <t>Internal Integration Pattern Name 2</t>
  </si>
  <si>
    <t>99.8% Availability</t>
  </si>
  <si>
    <t>Motivation &amp; Foundation</t>
  </si>
  <si>
    <t>Medium</t>
  </si>
  <si>
    <t>AWS</t>
  </si>
  <si>
    <t>EU - EDC - Edinburgh</t>
  </si>
  <si>
    <t>PingOne</t>
  </si>
  <si>
    <t>Data Excellence</t>
  </si>
  <si>
    <t>Observability Pattern Name 3</t>
  </si>
  <si>
    <t>Deployment Pattern Name 3</t>
  </si>
  <si>
    <t>Backup Pattern Name 3</t>
  </si>
  <si>
    <t>DR Pattern Name 3</t>
  </si>
  <si>
    <t>Third Party Integration Pattern Name 3</t>
  </si>
  <si>
    <t>Resiliency Pattern Name 3</t>
  </si>
  <si>
    <t>Internal Integration Pattern Name 3</t>
  </si>
  <si>
    <t>99.5% Availability</t>
  </si>
  <si>
    <t>Baseline &amp; Target</t>
  </si>
  <si>
    <t>Don't know</t>
  </si>
  <si>
    <t>Solution does not introduce or use sensitive data</t>
  </si>
  <si>
    <t>Solution does not introduce or use data with residency requirements</t>
  </si>
  <si>
    <t>Low</t>
  </si>
  <si>
    <t>Azure</t>
  </si>
  <si>
    <t>AWS - Ireland</t>
  </si>
  <si>
    <t>ISAM</t>
  </si>
  <si>
    <t>other</t>
  </si>
  <si>
    <t>Future Proof</t>
  </si>
  <si>
    <t>Component Architecture Standard</t>
  </si>
  <si>
    <t>Observability Pattern Name 4</t>
  </si>
  <si>
    <t>Deployment Pattern Name 4</t>
  </si>
  <si>
    <t>Backup Pattern Name 4</t>
  </si>
  <si>
    <t>DR Pattern Name 4</t>
  </si>
  <si>
    <t>Third Party Integration Pattern Name 4</t>
  </si>
  <si>
    <t>Resiliency Pattern Name 4</t>
  </si>
  <si>
    <t>Internal Integration Pattern Name 4</t>
  </si>
  <si>
    <t>99.0% Availability</t>
  </si>
  <si>
    <t>Transformation Roadmap</t>
  </si>
  <si>
    <t>Vulnerability Management/Scanning is not a requirement for the solution</t>
  </si>
  <si>
    <t>Security Risk Rating does not apply / is not required</t>
  </si>
  <si>
    <t>SaaS</t>
  </si>
  <si>
    <t>AWS - N. Virginia</t>
  </si>
  <si>
    <t>TACACS+</t>
  </si>
  <si>
    <t>Secrets management is not a requirement</t>
  </si>
  <si>
    <t>Interoperable</t>
  </si>
  <si>
    <t>Architecture Design Pattern</t>
  </si>
  <si>
    <t>Observability Pattern Name 5</t>
  </si>
  <si>
    <t>Deployment Pattern Name 5</t>
  </si>
  <si>
    <t>Backup is not a requirement</t>
  </si>
  <si>
    <t>DR is not a requirement</t>
  </si>
  <si>
    <t>Third Party Integration Pattern Name 5</t>
  </si>
  <si>
    <t>Resiliency requirement is not defined</t>
  </si>
  <si>
    <t>Internal Integration Pattern Name 5</t>
  </si>
  <si>
    <t>Availability requirement is not defined</t>
  </si>
  <si>
    <t>Don't Know</t>
  </si>
  <si>
    <t>Realization</t>
  </si>
  <si>
    <t>Unknown</t>
  </si>
  <si>
    <t>Risk &amp; Compliance</t>
  </si>
  <si>
    <t>PaaS</t>
  </si>
  <si>
    <t>AWS - Ohio</t>
  </si>
  <si>
    <t>OKTA</t>
  </si>
  <si>
    <t>Secrets management requirement is not defined</t>
  </si>
  <si>
    <t>Modern</t>
  </si>
  <si>
    <t>Reference Architecture</t>
  </si>
  <si>
    <t>Observability is not a requirement</t>
  </si>
  <si>
    <t>Deployment Pattern Name 6</t>
  </si>
  <si>
    <t>Third Party Integration Pattern Name 6</t>
  </si>
  <si>
    <t>Internal Integration Pattern Name 6</t>
  </si>
  <si>
    <t>Complete</t>
  </si>
  <si>
    <t>Operational Readiness</t>
  </si>
  <si>
    <t>Other</t>
  </si>
  <si>
    <t>Azure - Northern Europe</t>
  </si>
  <si>
    <t>Reliable</t>
  </si>
  <si>
    <t>Project Solution - Design</t>
  </si>
  <si>
    <t>Deployment is not a requirement</t>
  </si>
  <si>
    <t>Multiple Approved</t>
  </si>
  <si>
    <t>Azure - East US</t>
  </si>
  <si>
    <t>Identity is not a part of the solution</t>
  </si>
  <si>
    <t>Secure</t>
  </si>
  <si>
    <t>Project Solution - Final</t>
  </si>
  <si>
    <t>AWS - Multiple Approved</t>
  </si>
  <si>
    <t>Standardized</t>
  </si>
  <si>
    <t>Architecture Controls, Policies or Standards</t>
  </si>
  <si>
    <t>Third party integration is not a requirement</t>
  </si>
  <si>
    <t>Internal Integration is not a requirement</t>
  </si>
  <si>
    <t>Azure - Multiple Approved</t>
  </si>
  <si>
    <t>Transparent</t>
  </si>
  <si>
    <t>Architecture Exception</t>
  </si>
  <si>
    <t>Both ADC and EDC</t>
  </si>
  <si>
    <t>Value Oriented</t>
  </si>
  <si>
    <t>Date </t>
  </si>
  <si>
    <t>Author/updated by </t>
  </si>
  <si>
    <t>Comments </t>
  </si>
  <si>
    <t>Bernard Jauregui</t>
  </si>
  <si>
    <t>First Draft</t>
  </si>
  <si>
    <t>Released for comment</t>
  </si>
  <si>
    <t>If this is a Project Solution, are component standards, architecture design patterns, and reference architectures utilized by the solution in the GTS or Global architecture repository?</t>
  </si>
  <si>
    <t>What is the type of architecture review board approval requested?</t>
  </si>
  <si>
    <t>Has the architecture been peer reviewed by architects and has all feedback been addressed to the reviewers' satisfaction?</t>
  </si>
  <si>
    <t>This document lists the pre and post ARB requirements from GTS Architects and GTS Architecture Delivery Product Owner/ARB Facilitator.</t>
  </si>
  <si>
    <t xml:space="preserve">Pre GTS ARB: </t>
  </si>
  <si>
    <t>o    Exceptions to Standards process .</t>
  </si>
  <si>
    <t>Post GTS ARB Approval: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</si>
  <si>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</si>
  <si>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</si>
  <si>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</si>
  <si>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</si>
  <si>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</si>
  <si>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</si>
  <si>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</si>
  <si>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</si>
  <si>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</si>
  <si>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</si>
  <si>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</si>
  <si>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</si>
  <si>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</si>
  <si>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Ensure the Scorecard meets minimum of 90% score.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</si>
  <si>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</si>
  <si>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</si>
  <si>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</si>
  <si>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</si>
  <si>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</si>
  <si>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 xml:space="preserve">If the work is being handed over to an operational team, send a handover email to the Operational teams and requestor. Include GTS PMO if project management resources needs are determined. </t>
  </si>
  <si>
    <t>Once the peer feedback is considered, create a request on ARB SharePoint, if not already done.</t>
  </si>
  <si>
    <t>Approved Multi-Region</t>
  </si>
  <si>
    <t>Approved Multicloud</t>
  </si>
  <si>
    <t>Not a Final ARB</t>
  </si>
  <si>
    <t>Exceptions to standards are logged as GTS Risk Acceptances</t>
  </si>
  <si>
    <t xml:space="preserve">Exceptions to standards are logged as GTS Risk Remediations.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</si>
  <si>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</si>
  <si>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</si>
  <si>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>No - TRA is Not Required</t>
  </si>
  <si>
    <t>Solution Does Not Requre a Data Privacy Impact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</si>
</sst>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Segoe UI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1"/>
      <name val="Aptos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MS Gothic"/>
      <family val="3"/>
    </font>
    <font>
      <sz val="14"/>
      <color theme="1"/>
      <name val="Aptos"/>
      <family val="2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164" fontId="3" fillId="0" borderId="5" xfId="0" applyNumberFormat="1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5" borderId="7" xfId="0" applyFill="1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0" fillId="5" borderId="7" xfId="0" applyFill="1" applyBorder="1" applyAlignment="1">
      <alignment vertical="top" wrapText="1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0" fillId="6" borderId="7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vertical="top" wrapText="1"/>
      <protection locked="0"/>
    </xf>
    <xf numFmtId="0" fontId="5" fillId="0" borderId="7" xfId="1" applyBorder="1" applyAlignment="1" applyProtection="1">
      <alignment horizontal="left" vertical="top" wrapText="1"/>
      <protection locked="0"/>
    </xf>
    <xf numFmtId="0" fontId="6" fillId="0" borderId="7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7" xfId="1" applyBorder="1" applyAlignment="1" applyProtection="1">
      <alignment vertical="top" wrapText="1"/>
      <protection locked="0"/>
    </xf>
    <xf numFmtId="0" fontId="0" fillId="5" borderId="7" xfId="0" applyFill="1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>
      <alignment horizontal="center" vertical="top" wrapText="1"/>
    </xf>
    <xf numFmtId="9" fontId="0" fillId="0" borderId="9" xfId="0" applyNumberFormat="1" applyBorder="1" applyAlignment="1">
      <alignment horizontal="center" vertical="top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0" borderId="7" xfId="0" applyFont="1" applyBorder="1" applyAlignment="1">
      <alignment vertical="top"/>
    </xf>
    <xf numFmtId="0" fontId="5" fillId="0" borderId="7" xfId="1" applyBorder="1" applyAlignment="1" applyProtection="1">
      <alignment vertical="top"/>
      <protection locked="0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1" applyFont="1" applyAlignment="1">
      <alignment horizontal="left" indent="2"/>
    </xf>
    <xf numFmtId="0" fontId="11" fillId="8" borderId="0" xfId="0" applyFont="1" applyFill="1" applyAlignment="1">
      <alignment horizontal="center" vertical="top" wrapText="1"/>
    </xf>
    <xf numFmtId="0" fontId="15" fillId="0" borderId="0" xfId="0" applyFont="1" applyAlignment="1">
      <alignment horizontal="left" indent="2"/>
    </xf>
    <xf numFmtId="0" fontId="14" fillId="0" borderId="0" xfId="0" applyFont="1" applyAlignment="1">
      <alignment horizontal="left" indent="2"/>
    </xf>
    <xf numFmtId="0" fontId="16" fillId="0" borderId="0" xfId="0" applyFont="1" applyAlignment="1">
      <alignment horizontal="left" indent="5"/>
    </xf>
    <xf numFmtId="0" fontId="13" fillId="0" borderId="0" xfId="1" applyFont="1" applyAlignment="1">
      <alignment horizontal="left" indent="5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13" fillId="0" borderId="0" xfId="1" applyFont="1" applyAlignment="1">
      <alignment horizontal="left" vertical="center" indent="5"/>
    </xf>
  </cellXfs>
  <cellStyles count="2">
    <cellStyle name="Hyperlink" xfId="1" builtinId="8"/>
    <cellStyle name="Normal" xfId="0" builtinId="0"/>
  </cellStyles>
  <dxfs count="4"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3</xdr:row>
          <xdr:rowOff>22860</xdr:rowOff>
        </xdr:from>
        <xdr:to>
          <xdr:col>0</xdr:col>
          <xdr:colOff>411480</xdr:colOff>
          <xdr:row>4</xdr:row>
          <xdr:rowOff>7620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3</xdr:row>
          <xdr:rowOff>236220</xdr:rowOff>
        </xdr:from>
        <xdr:to>
          <xdr:col>0</xdr:col>
          <xdr:colOff>411480</xdr:colOff>
          <xdr:row>4</xdr:row>
          <xdr:rowOff>228600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4</xdr:row>
          <xdr:rowOff>228600</xdr:rowOff>
        </xdr:from>
        <xdr:to>
          <xdr:col>0</xdr:col>
          <xdr:colOff>411480</xdr:colOff>
          <xdr:row>5</xdr:row>
          <xdr:rowOff>220980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5</xdr:row>
          <xdr:rowOff>228600</xdr:rowOff>
        </xdr:from>
        <xdr:to>
          <xdr:col>0</xdr:col>
          <xdr:colOff>411480</xdr:colOff>
          <xdr:row>6</xdr:row>
          <xdr:rowOff>220980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6</xdr:row>
          <xdr:rowOff>228600</xdr:rowOff>
        </xdr:from>
        <xdr:to>
          <xdr:col>0</xdr:col>
          <xdr:colOff>411480</xdr:colOff>
          <xdr:row>7</xdr:row>
          <xdr:rowOff>220980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8</xdr:row>
          <xdr:rowOff>7620</xdr:rowOff>
        </xdr:from>
        <xdr:to>
          <xdr:col>0</xdr:col>
          <xdr:colOff>411480</xdr:colOff>
          <xdr:row>9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9</xdr:row>
          <xdr:rowOff>7620</xdr:rowOff>
        </xdr:from>
        <xdr:to>
          <xdr:col>0</xdr:col>
          <xdr:colOff>411480</xdr:colOff>
          <xdr:row>10</xdr:row>
          <xdr:rowOff>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9</xdr:row>
          <xdr:rowOff>236220</xdr:rowOff>
        </xdr:from>
        <xdr:to>
          <xdr:col>0</xdr:col>
          <xdr:colOff>411480</xdr:colOff>
          <xdr:row>10</xdr:row>
          <xdr:rowOff>228600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14</xdr:row>
          <xdr:rowOff>22860</xdr:rowOff>
        </xdr:from>
        <xdr:to>
          <xdr:col>0</xdr:col>
          <xdr:colOff>411480</xdr:colOff>
          <xdr:row>15</xdr:row>
          <xdr:rowOff>7620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15</xdr:row>
          <xdr:rowOff>7620</xdr:rowOff>
        </xdr:from>
        <xdr:to>
          <xdr:col>0</xdr:col>
          <xdr:colOff>411480</xdr:colOff>
          <xdr:row>16</xdr:row>
          <xdr:rowOff>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16</xdr:row>
          <xdr:rowOff>22860</xdr:rowOff>
        </xdr:from>
        <xdr:to>
          <xdr:col>0</xdr:col>
          <xdr:colOff>411480</xdr:colOff>
          <xdr:row>17</xdr:row>
          <xdr:rowOff>7620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20</xdr:row>
          <xdr:rowOff>22860</xdr:rowOff>
        </xdr:from>
        <xdr:to>
          <xdr:col>0</xdr:col>
          <xdr:colOff>411480</xdr:colOff>
          <xdr:row>21</xdr:row>
          <xdr:rowOff>7620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20</xdr:row>
          <xdr:rowOff>236220</xdr:rowOff>
        </xdr:from>
        <xdr:to>
          <xdr:col>0</xdr:col>
          <xdr:colOff>411480</xdr:colOff>
          <xdr:row>21</xdr:row>
          <xdr:rowOff>228600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26</xdr:row>
          <xdr:rowOff>228600</xdr:rowOff>
        </xdr:from>
        <xdr:to>
          <xdr:col>0</xdr:col>
          <xdr:colOff>411480</xdr:colOff>
          <xdr:row>27</xdr:row>
          <xdr:rowOff>220980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28</xdr:row>
          <xdr:rowOff>228600</xdr:rowOff>
        </xdr:from>
        <xdr:to>
          <xdr:col>0</xdr:col>
          <xdr:colOff>411480</xdr:colOff>
          <xdr:row>30</xdr:row>
          <xdr:rowOff>30480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29</xdr:row>
          <xdr:rowOff>228600</xdr:rowOff>
        </xdr:from>
        <xdr:to>
          <xdr:col>0</xdr:col>
          <xdr:colOff>411480</xdr:colOff>
          <xdr:row>31</xdr:row>
          <xdr:rowOff>30480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6</xdr:col>
      <xdr:colOff>478155</xdr:colOff>
      <xdr:row>85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0800"/>
          <a:ext cx="1368742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  <threadedComment ref="G10" dT="2024-03-26T15:49:19.54" personId="{84C78631-C105-4873-A847-7AD1ADF61028}" id="{17CBB31F-8E20-4430-B312-9B96A327FDAF}">
    <text>Will these be updated to reflect the move to Platinum, Gold, Silver &amp; Bronze. Is that still happening?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../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../SitePages/Architecture-Principles.asp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SitePages/Architecture-Exceptions.aspx" TargetMode="External"/><Relationship Id="rId4" Type="http://schemas.openxmlformats.org/officeDocument/2006/relationships/hyperlink" Target="https://aegon.sharepoint.com/sites/TA-GTSTechnicalRiskAssessmentTool/RiskReviews/SitePages/Home.aspx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SitePages/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../../GTS-ARB/Lists/ARBCalendar/NewForm.aspx?Source=https%3A%2F%2Faegonna.sharepoint.com%2Fsites%2FGTS-ARB%3FMode%3DEdit&amp;id=%2Fsites%2FGTS-ARB%2FLists%2FARBCalendar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../SitePages/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../../GTS-ARB/Lists/ARBCalendar/NewForm.aspx?Source=https%3A%2F%2Faegonna.sharepoint.com%2Fsites%2FGTS-ARB%3FMode%3DEdit&amp;id=%2Fsites%2FGTS-ARB%2FLists%2FARBCalendar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../SitePages/Architecture-Exceptions.aspx" TargetMode="External"/><Relationship Id="rId6" Type="http://schemas.openxmlformats.org/officeDocument/2006/relationships/hyperlink" Target="../SitePages/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https://aegon.sharepoint.com/sites/AGTSolutionDesignRepository/Shared%20Documents/Forms/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../SitePages/Proof-of-Concepts.aspx" TargetMode="External"/><Relationship Id="rId19" Type="http://schemas.openxmlformats.org/officeDocument/2006/relationships/ctrlProp" Target="../ctrlProps/ctrlProp5.xml"/><Relationship Id="rId4" Type="http://schemas.openxmlformats.org/officeDocument/2006/relationships/hyperlink" Target="Forms/AllItems.aspx" TargetMode="External"/><Relationship Id="rId9" Type="http://schemas.openxmlformats.org/officeDocument/2006/relationships/hyperlink" Target="../SitePages/Architectural-Patterns.aspx" TargetMode="External"/><Relationship Id="rId14" Type="http://schemas.openxmlformats.org/officeDocument/2006/relationships/vmlDrawing" Target="../drawings/vmlDrawing2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2" Type="http://schemas.openxmlformats.org/officeDocument/2006/relationships/hyperlink" Target="../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../SitePages/Architecture-Principles.aspx" TargetMode="External"/><Relationship Id="rId4" Type="http://schemas.openxmlformats.org/officeDocument/2006/relationships/hyperlink" Target="https://aegon.sharepoint.com/sites/TA-GTSTechnicalRiskAssessmentTool/RiskReviews/SitePages/Home.asp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0"/>
  <sheetViews>
    <sheetView tabSelected="1" zoomScaleNormal="100" workbookViewId="0">
      <pane ySplit="2" topLeftCell="A3" activePane="bottomLeft" state="frozen"/>
      <selection pane="bottomLeft" activeCell="D27" sqref="D27"/>
    </sheetView>
  </sheetViews>
  <sheetFormatPr defaultColWidth="10.59765625" defaultRowHeight="15.6" x14ac:dyDescent="0.3"/>
  <cols>
    <col min="1" max="1" width="22.59765625" style="2" customWidth="1"/>
    <col min="2" max="2" width="31.59765625" style="2" hidden="1" customWidth="1"/>
    <col min="3" max="3" width="54" style="21" customWidth="1"/>
    <col min="4" max="4" width="32.59765625" style="23" customWidth="1"/>
    <col min="5" max="5" width="23.09765625" style="3" customWidth="1"/>
    <col min="6" max="6" width="35" style="5" customWidth="1"/>
    <col min="7" max="7" width="56.09765625" style="21" customWidth="1"/>
    <col min="8" max="16384" width="10.59765625" style="2"/>
  </cols>
  <sheetData>
    <row r="1" spans="1:7" ht="32.85" customHeight="1" thickBot="1" x14ac:dyDescent="0.35">
      <c r="D1" s="45" t="s">
        <v>0</v>
      </c>
      <c r="E1" s="46">
        <f>SUM(E4:E30)/COUNT(E4:E30)</f>
        <v>1</v>
      </c>
    </row>
    <row r="2" spans="1:7" s="34" customFormat="1" ht="57" customHeight="1" x14ac:dyDescent="0.3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5" t="s">
        <v>6</v>
      </c>
      <c r="G2" s="36" t="s">
        <v>7</v>
      </c>
    </row>
    <row r="3" spans="1:7" ht="31.2" x14ac:dyDescent="0.3">
      <c r="A3" s="24" t="s">
        <v>8</v>
      </c>
      <c r="B3" s="24"/>
      <c r="C3" s="25" t="s">
        <v>248</v>
      </c>
      <c r="D3" s="43" t="s">
        <v>146</v>
      </c>
      <c r="E3" s="33" t="s">
        <v>10</v>
      </c>
      <c r="F3" s="47"/>
      <c r="G3" s="41" t="s">
        <v>11</v>
      </c>
    </row>
    <row r="4" spans="1:7" ht="46.8" x14ac:dyDescent="0.3">
      <c r="A4" s="24" t="s">
        <v>8</v>
      </c>
      <c r="B4" s="26"/>
      <c r="C4" s="25" t="s">
        <v>249</v>
      </c>
      <c r="D4" s="43" t="s">
        <v>61</v>
      </c>
      <c r="E4" s="27">
        <f>IF(D4 = "Yes",1,IF(D4 = "N/A",1,0))</f>
        <v>1</v>
      </c>
      <c r="F4" s="47"/>
      <c r="G4" s="37"/>
    </row>
    <row r="5" spans="1:7" ht="31.2" x14ac:dyDescent="0.3">
      <c r="A5" s="24" t="s">
        <v>8</v>
      </c>
      <c r="B5" s="26"/>
      <c r="C5" s="29" t="s">
        <v>13</v>
      </c>
      <c r="D5" s="43" t="s">
        <v>157</v>
      </c>
      <c r="E5" s="27">
        <f>IF(D5="AWS",1,IF(D5="Physical DataCenter",1,IF(D5="Azure",1,IF(D5="SaaS",1,IF(D5="PaaS",1,IF(D5="N/A",1,IF(D5="Multiple Approved",1,0)))))))</f>
        <v>1</v>
      </c>
      <c r="F5" s="47"/>
      <c r="G5" s="37"/>
    </row>
    <row r="6" spans="1:7" x14ac:dyDescent="0.3">
      <c r="A6" s="24" t="s">
        <v>8</v>
      </c>
      <c r="B6" s="26"/>
      <c r="C6" s="25" t="s">
        <v>14</v>
      </c>
      <c r="D6" s="43" t="s">
        <v>231</v>
      </c>
      <c r="E6" s="27">
        <f>IF(D6="US - ADC - Cedar Rapids",1,IF(D6="EU - EDC - Edinburgh",1,IF(D6="AWS - Ohio",1,IF(D6="AWS - Ireland",1,IF(D6="AWS - N. Virginia",1,IF(D6="Azure - Multiple Approved",1,IF(D6="AWS - Multiple Approved",1,IF(D6="Azure - Northern Europe",1,IF(D6="Azure - East US",1,IF(D6="Azure - East US",1,IF(D6="EU - EDC",1,IF(D6="Both ADC and EDC",1,IF(D6="US - ADC",1,IF(D6="N/A",1,IF(D6="Approved Multicloud",1,IF(D6="Approved Multi-Region",1,0))))))))))))))))</f>
        <v>1</v>
      </c>
      <c r="F6" s="47"/>
      <c r="G6" s="37"/>
    </row>
    <row r="7" spans="1:7" ht="31.2" x14ac:dyDescent="0.3">
      <c r="A7" s="24" t="s">
        <v>8</v>
      </c>
      <c r="B7" s="26"/>
      <c r="C7" s="25" t="s">
        <v>15</v>
      </c>
      <c r="D7" s="43" t="s">
        <v>277</v>
      </c>
      <c r="E7" s="27">
        <f>IF(D7 = "Yes",1,IF(D7 = "Not a Final ARB",1,IF(D7 = "N/A",1,0)))</f>
        <v>1</v>
      </c>
      <c r="F7" s="47"/>
      <c r="G7" s="41" t="s">
        <v>16</v>
      </c>
    </row>
    <row r="8" spans="1:7" ht="46.8" x14ac:dyDescent="0.3">
      <c r="A8" s="26" t="s">
        <v>8</v>
      </c>
      <c r="B8" s="26"/>
      <c r="C8" s="25" t="s">
        <v>17</v>
      </c>
      <c r="D8" s="43" t="s">
        <v>10</v>
      </c>
      <c r="E8" s="30">
        <f>IF(D8="Yes",1,IF(D8="N/A",1,0))</f>
        <v>1</v>
      </c>
      <c r="F8" s="47"/>
      <c r="G8" s="37"/>
    </row>
    <row r="9" spans="1:7" ht="46.8" x14ac:dyDescent="0.3">
      <c r="A9" s="24" t="s">
        <v>8</v>
      </c>
      <c r="B9" s="31"/>
      <c r="C9" s="29" t="s">
        <v>18</v>
      </c>
      <c r="D9" s="43" t="s">
        <v>10</v>
      </c>
      <c r="E9" s="30">
        <f>IF(D9="Yes",1,IF(D9="N/A",1,0))</f>
        <v>1</v>
      </c>
      <c r="F9" s="47"/>
      <c r="G9" s="37"/>
    </row>
    <row r="10" spans="1:7" x14ac:dyDescent="0.3">
      <c r="A10" s="24" t="s">
        <v>8</v>
      </c>
      <c r="B10" s="26"/>
      <c r="C10" s="25" t="s">
        <v>19</v>
      </c>
      <c r="D10" s="43" t="s">
        <v>73</v>
      </c>
      <c r="E10" s="27">
        <f>IF(D10="99.0% Availability",1,IF(D10="99.9% Availability",1,IF(D10="99.8% Availability",1,IF(D10="99.5% Availability",1,IF(D10="Availability is not a requirement",1,0)))))</f>
        <v>1</v>
      </c>
      <c r="F10" s="47"/>
      <c r="G10" s="41" t="s">
        <v>20</v>
      </c>
    </row>
    <row r="11" spans="1:7" ht="31.2" x14ac:dyDescent="0.3">
      <c r="A11" s="24" t="s">
        <v>8</v>
      </c>
      <c r="B11" s="26"/>
      <c r="C11" s="29" t="s">
        <v>21</v>
      </c>
      <c r="D11" s="43" t="s">
        <v>10</v>
      </c>
      <c r="E11" s="30">
        <f>IF(D11="Yes",1,IF(D11="N/A",1,0))</f>
        <v>1</v>
      </c>
      <c r="F11" s="47"/>
      <c r="G11" s="37"/>
    </row>
    <row r="12" spans="1:7" ht="31.2" x14ac:dyDescent="0.3">
      <c r="A12" s="24" t="s">
        <v>8</v>
      </c>
      <c r="B12" s="26"/>
      <c r="C12" s="25" t="s">
        <v>22</v>
      </c>
      <c r="D12" s="43" t="s">
        <v>10</v>
      </c>
      <c r="E12" s="30">
        <f>IF(D12="Yes",1,IF(D12="N/A",1,0))</f>
        <v>1</v>
      </c>
      <c r="F12" s="47"/>
      <c r="G12" s="37"/>
    </row>
    <row r="13" spans="1:7" ht="31.2" x14ac:dyDescent="0.3">
      <c r="A13" s="24" t="s">
        <v>8</v>
      </c>
      <c r="B13" s="26"/>
      <c r="C13" s="25" t="s">
        <v>23</v>
      </c>
      <c r="D13" s="43" t="s">
        <v>61</v>
      </c>
      <c r="E13" s="30">
        <f>IF(D13="Yes",1,IF(D13="N/A",1,0))</f>
        <v>1</v>
      </c>
      <c r="F13" s="47"/>
      <c r="G13" s="37"/>
    </row>
    <row r="14" spans="1:7" ht="31.2" x14ac:dyDescent="0.3">
      <c r="A14" s="24" t="s">
        <v>8</v>
      </c>
      <c r="B14" s="31"/>
      <c r="C14" s="25" t="s">
        <v>24</v>
      </c>
      <c r="D14" s="44" t="s">
        <v>61</v>
      </c>
      <c r="E14" s="27">
        <f>IF(D14="Yes",1,IF(D14="N/A",1,IF(D14="Partial",0.5,0)))</f>
        <v>1</v>
      </c>
      <c r="F14" s="48"/>
      <c r="G14" s="38" t="s">
        <v>25</v>
      </c>
    </row>
    <row r="15" spans="1:7" ht="109.2" x14ac:dyDescent="0.3">
      <c r="A15" s="26" t="s">
        <v>8</v>
      </c>
      <c r="B15" s="26"/>
      <c r="C15" s="25" t="s">
        <v>26</v>
      </c>
      <c r="D15" s="43" t="s">
        <v>10</v>
      </c>
      <c r="E15" s="30">
        <f>IF(D15="Yes",1,IF(D15="N/A",1,0))</f>
        <v>1</v>
      </c>
      <c r="F15" s="47"/>
      <c r="G15" s="39" t="s">
        <v>27</v>
      </c>
    </row>
    <row r="16" spans="1:7" ht="109.2" x14ac:dyDescent="0.3">
      <c r="A16" s="26" t="s">
        <v>8</v>
      </c>
      <c r="B16" s="26"/>
      <c r="C16" s="25" t="s">
        <v>28</v>
      </c>
      <c r="D16" s="43" t="s">
        <v>61</v>
      </c>
      <c r="E16" s="30">
        <f>IF(D16="Yes",1,IF(D16="N/A",1,0))</f>
        <v>1</v>
      </c>
      <c r="F16" s="47"/>
      <c r="G16" s="39" t="s">
        <v>27</v>
      </c>
    </row>
    <row r="17" spans="1:7" ht="31.2" x14ac:dyDescent="0.3">
      <c r="A17" s="26" t="s">
        <v>8</v>
      </c>
      <c r="B17" s="26" t="s">
        <v>29</v>
      </c>
      <c r="C17" s="25" t="s">
        <v>30</v>
      </c>
      <c r="D17" s="43" t="s">
        <v>92</v>
      </c>
      <c r="E17" s="27">
        <f>IF(D17="Yes",1,IF(D17="Not Final ARB",1,IF(D17="Solution doesn't use machine / container images",1,0)))</f>
        <v>1</v>
      </c>
      <c r="F17" s="47"/>
      <c r="G17" s="37" t="s">
        <v>91</v>
      </c>
    </row>
    <row r="18" spans="1:7" ht="109.2" x14ac:dyDescent="0.3">
      <c r="A18" s="26" t="s">
        <v>8</v>
      </c>
      <c r="B18" s="26" t="s">
        <v>31</v>
      </c>
      <c r="C18" s="25" t="s">
        <v>247</v>
      </c>
      <c r="D18" s="43" t="s">
        <v>92</v>
      </c>
      <c r="E18" s="27">
        <f>IF(D18 = "Yes",1,IF(D18 = "Not Final ARB",1,0))</f>
        <v>1</v>
      </c>
      <c r="F18" s="48"/>
      <c r="G18" s="39" t="s">
        <v>27</v>
      </c>
    </row>
    <row r="19" spans="1:7" x14ac:dyDescent="0.3">
      <c r="A19" s="26" t="s">
        <v>8</v>
      </c>
      <c r="B19" s="26" t="s">
        <v>31</v>
      </c>
      <c r="C19" s="25" t="s">
        <v>33</v>
      </c>
      <c r="D19" s="43" t="s">
        <v>61</v>
      </c>
      <c r="E19" s="27">
        <f>IF(D19="Yes",1,IF(D19="N/A",1,0))</f>
        <v>1</v>
      </c>
      <c r="F19" s="47"/>
      <c r="G19" s="37"/>
    </row>
    <row r="20" spans="1:7" ht="46.8" x14ac:dyDescent="0.3">
      <c r="A20" s="26" t="s">
        <v>8</v>
      </c>
      <c r="B20" s="26"/>
      <c r="C20" s="25" t="s">
        <v>34</v>
      </c>
      <c r="D20" s="43" t="s">
        <v>93</v>
      </c>
      <c r="E20" s="27">
        <f>IF(D20="Yes",1,IF(D20="Not Applicable For This Type of ARB",1,0))</f>
        <v>1</v>
      </c>
      <c r="F20" s="47"/>
      <c r="G20" s="37"/>
    </row>
    <row r="21" spans="1:7" ht="31.2" x14ac:dyDescent="0.3">
      <c r="A21" s="26" t="s">
        <v>8</v>
      </c>
      <c r="B21" s="26"/>
      <c r="C21" s="25" t="s">
        <v>35</v>
      </c>
      <c r="D21" s="43" t="s">
        <v>94</v>
      </c>
      <c r="E21" s="27">
        <f>IF(D21="Ping",1,IF(D21="PingOne",1,IF(D21="ISAM",1,IF(D21="TACACS+",1,IF(D21="OKTA",1,IF(D21="Identity is not a part of the solution",1,0))))))</f>
        <v>1</v>
      </c>
      <c r="F21" s="47"/>
      <c r="G21" s="37"/>
    </row>
    <row r="22" spans="1:7" x14ac:dyDescent="0.3">
      <c r="A22" s="26" t="s">
        <v>8</v>
      </c>
      <c r="B22" s="26"/>
      <c r="C22" s="25" t="s">
        <v>36</v>
      </c>
      <c r="D22" s="43" t="s">
        <v>95</v>
      </c>
      <c r="E22" s="27">
        <f>IF(D22 = "CyberArk Conjur",1,IF(D22 = "AWS Secrets Manager",1,IF(D22 = "Secrets management is not a requirement",1,0)))</f>
        <v>1</v>
      </c>
      <c r="F22" s="47"/>
      <c r="G22" s="37"/>
    </row>
    <row r="23" spans="1:7" ht="31.2" x14ac:dyDescent="0.3">
      <c r="A23" s="26" t="s">
        <v>37</v>
      </c>
      <c r="B23" s="26"/>
      <c r="C23" s="25" t="s">
        <v>38</v>
      </c>
      <c r="D23" s="43" t="s">
        <v>282</v>
      </c>
      <c r="E23" s="27">
        <f>IF(D23="Yes - TRA Is Required and Complete",1,IF(D23="No - TRA Is Not Required",1,0))</f>
        <v>1</v>
      </c>
      <c r="F23" s="47"/>
      <c r="G23" s="41" t="s">
        <v>39</v>
      </c>
    </row>
    <row r="24" spans="1:7" ht="31.2" x14ac:dyDescent="0.3">
      <c r="A24" s="26" t="s">
        <v>37</v>
      </c>
      <c r="B24" s="26"/>
      <c r="C24" s="32" t="s">
        <v>40</v>
      </c>
      <c r="D24" s="43" t="s">
        <v>92</v>
      </c>
      <c r="E24" s="27">
        <f>IF(D24="Yes",1,IF(D24="Yes - With Exception",0.5,IF(D24="Not Final ARB",1,0)))</f>
        <v>1</v>
      </c>
      <c r="F24" s="47"/>
      <c r="G24" s="37" t="s">
        <v>41</v>
      </c>
    </row>
    <row r="25" spans="1:7" ht="31.2" x14ac:dyDescent="0.3">
      <c r="A25" s="26" t="s">
        <v>42</v>
      </c>
      <c r="B25" s="26" t="s">
        <v>43</v>
      </c>
      <c r="C25" s="32" t="s">
        <v>44</v>
      </c>
      <c r="D25" s="43" t="s">
        <v>92</v>
      </c>
      <c r="E25" s="27">
        <f>IF(D25="Yes",1,IF(D25="Yes - With Exception",0.5,IF(D25="Not Final ARB",1,0)))</f>
        <v>1</v>
      </c>
      <c r="F25" s="47"/>
      <c r="G25" s="37" t="s">
        <v>45</v>
      </c>
    </row>
    <row r="26" spans="1:7" ht="374.4" x14ac:dyDescent="0.3">
      <c r="A26" s="24" t="s">
        <v>42</v>
      </c>
      <c r="B26" s="31"/>
      <c r="C26" s="29" t="s">
        <v>46</v>
      </c>
      <c r="D26" s="43" t="s">
        <v>283</v>
      </c>
      <c r="E26" s="27">
        <f>IF(D26="Yes",1,IF(D26="Solution Does Not Requre a Data Privacy Impact Assessment",1,0))</f>
        <v>1</v>
      </c>
      <c r="F26" s="47"/>
      <c r="G26" s="42" t="s">
        <v>47</v>
      </c>
    </row>
    <row r="27" spans="1:7" ht="31.2" x14ac:dyDescent="0.3">
      <c r="A27" s="26" t="s">
        <v>48</v>
      </c>
      <c r="B27" s="26"/>
      <c r="C27" s="32" t="s">
        <v>49</v>
      </c>
      <c r="D27" s="43" t="s">
        <v>92</v>
      </c>
      <c r="E27" s="27">
        <f>IF(D27="Yes",1,IF(D27="Yes - With Exception",0.5,IF(D27="Not Final ARB",1,0)))</f>
        <v>1</v>
      </c>
      <c r="F27" s="47"/>
      <c r="G27" s="37" t="s">
        <v>50</v>
      </c>
    </row>
    <row r="28" spans="1:7" ht="62.4" x14ac:dyDescent="0.3">
      <c r="A28" s="26" t="s">
        <v>51</v>
      </c>
      <c r="B28" s="26"/>
      <c r="C28" s="29" t="s">
        <v>52</v>
      </c>
      <c r="D28" s="43" t="s">
        <v>92</v>
      </c>
      <c r="E28" s="27">
        <f>IF(D28="Yes",1,IF(D28="Not Final ARB",1,0))</f>
        <v>1</v>
      </c>
      <c r="F28" s="48"/>
      <c r="G28" s="40" t="s">
        <v>53</v>
      </c>
    </row>
    <row r="29" spans="1:7" ht="46.8" x14ac:dyDescent="0.3">
      <c r="A29" s="24" t="s">
        <v>54</v>
      </c>
      <c r="B29" s="31"/>
      <c r="C29" s="32" t="s">
        <v>55</v>
      </c>
      <c r="D29" s="43" t="s">
        <v>92</v>
      </c>
      <c r="E29" s="27">
        <f>IF(D29="Yes",1,IF(D29="Yes - With Exception",0.5,IF(D29="Not Final ARB",1,0)))</f>
        <v>1</v>
      </c>
      <c r="F29" s="47"/>
      <c r="G29" s="37" t="s">
        <v>56</v>
      </c>
    </row>
    <row r="30" spans="1:7" ht="31.2" x14ac:dyDescent="0.3">
      <c r="A30" s="24" t="s">
        <v>54</v>
      </c>
      <c r="B30" s="31" t="s">
        <v>57</v>
      </c>
      <c r="C30" s="29" t="s">
        <v>58</v>
      </c>
      <c r="D30" s="43" t="s">
        <v>66</v>
      </c>
      <c r="E30" s="27">
        <f>IF(D30 = "No",1,IF(D30 = "",0,IF(D30 = "N/A",1,-11)))</f>
        <v>1</v>
      </c>
      <c r="F30" s="47"/>
      <c r="G30" s="37"/>
    </row>
  </sheetData>
  <sheetProtection algorithmName="SHA-512" hashValue="6TipL52l1mPebjDYLLgZRaTkiXo+NawYsodtC+q0HwSuEKyoIfawlCk+OM8lmY3GfwybYDK/dqeL+aWUOIA7iA==" saltValue="iMlzf3WtCqOYkdqxRo6dPQ==" spinCount="100000" sheet="1" objects="1" scenarios="1"/>
  <autoFilter ref="A2:G30" xr:uid="{C8F5E862-E634-4BBD-9593-84317083CAE8}"/>
  <conditionalFormatting sqref="E1">
    <cfRule type="cellIs" dxfId="3" priority="1" operator="between">
      <formula>0.9</formula>
      <formula>1</formula>
    </cfRule>
    <cfRule type="cellIs" dxfId="2" priority="2" operator="between">
      <formula>0</formula>
      <formula>0.899</formula>
    </cfRule>
  </conditionalFormatting>
  <conditionalFormatting sqref="E4:E30">
    <cfRule type="colorScale" priority="21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12">
    <dataValidation type="list" allowBlank="1" showInputMessage="1" showErrorMessage="1" sqref="D27 D29 D24 D25" xr:uid="{B9E159FB-EA53-414D-AA72-C549A1A443B6}">
      <formula1>"Yes, Yes - With Exception, No, Not Final ARB"</formula1>
    </dataValidation>
    <dataValidation type="list" allowBlank="1" showInputMessage="1" showErrorMessage="1" sqref="D23" xr:uid="{7125961B-2606-4ED6-8099-B54A99128DC2}">
      <formula1>"Yes - TRA is required and Complete, Yes - TRA is required and not complete, No - TRA is Not Required"</formula1>
    </dataValidation>
    <dataValidation type="list" allowBlank="1" showInputMessage="1" showErrorMessage="1" sqref="D20" xr:uid="{EF0A788A-D535-4FC3-BC01-83C151C8669F}">
      <formula1>"Yes, No, Not Applicable For This Type of ARB"</formula1>
    </dataValidation>
    <dataValidation type="list" allowBlank="1" showInputMessage="1" showErrorMessage="1" sqref="D7" xr:uid="{EB35C9C1-7D67-47EB-BC26-235CF5D59770}">
      <formula1>"Yes, No, N/A, Not a Final ARB"</formula1>
    </dataValidation>
    <dataValidation type="list" allowBlank="1" showInputMessage="1" showErrorMessage="1" sqref="D26" xr:uid="{4B977B89-C887-450C-A252-A59940F574AB}">
      <formula1>"Yes, No, Solution Does Not Requre a Data Privacy Impact Assessment"</formula1>
    </dataValidation>
    <dataValidation type="list" allowBlank="1" showInputMessage="1" showErrorMessage="1" sqref="D30 D19" xr:uid="{95BB7BAA-2E3E-40EE-957E-C5340850AD6F}">
      <formula1>"Yes, No, N/A"</formula1>
    </dataValidation>
    <dataValidation type="list" allowBlank="1" showInputMessage="1" showErrorMessage="1" sqref="D18" xr:uid="{E4346746-97CC-4061-8A71-03FA3F6890E3}">
      <formula1>"Yes, No, Not Final ARB"</formula1>
    </dataValidation>
    <dataValidation type="list" allowBlank="1" showInputMessage="1" showErrorMessage="1" sqref="D28" xr:uid="{F840B9DF-FA4C-4AC5-8226-36D1BB5A2CA8}">
      <formula1>"Yes, No, Not Final ARB, Don't know"</formula1>
    </dataValidation>
    <dataValidation type="list" allowBlank="1" showInputMessage="1" showErrorMessage="1" sqref="D28" xr:uid="{5CDAD07A-FCF3-4A9B-98A0-AAC8A5B23EFA}">
      <formula1>"Yes, No"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31 D240:D1048576" xr:uid="{DFE3D393-0266-4BDD-8D2B-7FA3466AE9BB}">
      <formula1>$R$2:$R$7</formula1>
    </dataValidation>
    <dataValidation type="list" allowBlank="1" showInputMessage="1" showErrorMessage="1" sqref="D17" xr:uid="{1EB1BF1E-1BCF-4ACD-9DD6-F27F0487F29D}">
      <formula1>"Yes, No, Not Final ARB, Solution doesn't use machine / container images"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7" r:id="rId3" xr:uid="{179E703A-31AB-4CBB-A9FB-E93D45B58A16}"/>
    <hyperlink ref="G23" r:id="rId4" xr:uid="{7335458A-6311-4E5E-934A-F16F0D380C19}"/>
    <hyperlink ref="G3" r:id="rId5" xr:uid="{9EF7264A-2C1C-45DD-99CB-B8C371E1FCC1}"/>
  </hyperlinks>
  <pageMargins left="0.7" right="0.7" top="0.75" bottom="0.75" header="0.3" footer="0.3"/>
  <pageSetup orientation="portrait" r:id="rId6"/>
  <ignoredErrors>
    <ignoredError sqref="E14 E28 E26" formula="1"/>
  </ignoredErrors>
  <legacyDrawing r:id="rId7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78FA92D-3EFD-4704-8F20-959288F801C5}">
          <x14:formula1>
            <xm:f>References!$K$4:$K$9</xm:f>
          </x14:formula1>
          <xm:sqref>D10</xm:sqref>
        </x14:dataValidation>
        <x14:dataValidation type="list" allowBlank="1" showInputMessage="1" showErrorMessage="1" xr:uid="{ADD40737-B8F3-4C3D-85DB-1E2E4FAA3F94}">
          <x14:formula1>
            <xm:f>References!$Y$4:$Y$12</xm:f>
          </x14:formula1>
          <xm:sqref>D3</xm:sqref>
        </x14:dataValidation>
        <x14:dataValidation type="list" allowBlank="1" showInputMessage="1" showErrorMessage="1" xr:uid="{11783F38-1C1A-437F-92C3-32EB514892A3}">
          <x14:formula1>
            <xm:f>References!$U$4:$U$18</xm:f>
          </x14:formula1>
          <xm:sqref>D6</xm:sqref>
        </x14:dataValidation>
        <x14:dataValidation type="list" allowBlank="1" showInputMessage="1" showErrorMessage="1" xr:uid="{A678BBD6-028A-4C43-B7F4-05EECD64D6D5}">
          <x14:formula1>
            <xm:f>References!$L$4:$L$8</xm:f>
          </x14:formula1>
          <xm:sqref>D14</xm:sqref>
        </x14:dataValidation>
        <x14:dataValidation type="list" allowBlank="1" showInputMessage="1" showErrorMessage="1" xr:uid="{024BA9D3-54D8-41ED-99AB-FFF70D434BA4}">
          <x14:formula1>
            <xm:f>References!$W$4:$W$8</xm:f>
          </x14:formula1>
          <xm:sqref>D22</xm:sqref>
        </x14:dataValidation>
        <x14:dataValidation type="list" allowBlank="1" showInputMessage="1" showErrorMessage="1" xr:uid="{4253A1FE-4B50-4D9B-B873-FDBBAF4DB88A}">
          <x14:formula1>
            <xm:f>References!$T$4:$T$11</xm:f>
          </x14:formula1>
          <xm:sqref>D5</xm:sqref>
        </x14:dataValidation>
        <x14:dataValidation type="list" allowBlank="1" showInputMessage="1" showErrorMessage="1" xr:uid="{237A1733-7D55-404E-9AA1-A0CA01CEEC50}">
          <x14:formula1>
            <xm:f>References!$V$4:$V$10</xm:f>
          </x14:formula1>
          <xm:sqref>D21</xm:sqref>
        </x14:dataValidation>
        <x14:dataValidation type="list" allowBlank="1" showInputMessage="1" showErrorMessage="1" xr:uid="{9C16E82F-C197-4912-B6B9-40DD97E2D0AB}">
          <x14:formula1>
            <xm:f>References!$Z$4:$Z$6</xm:f>
          </x14:formula1>
          <xm:sqref>D8:D9 D11:D13 D15:D16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1763-70CD-4A02-9E57-930BC72F4D85}">
  <dimension ref="B1:V31"/>
  <sheetViews>
    <sheetView topLeftCell="A14" workbookViewId="0">
      <selection activeCell="B32" sqref="B32"/>
    </sheetView>
  </sheetViews>
  <sheetFormatPr defaultRowHeight="15.6" x14ac:dyDescent="0.3"/>
  <cols>
    <col min="12" max="12" width="31.19921875" customWidth="1"/>
  </cols>
  <sheetData>
    <row r="1" spans="2:22" ht="33" customHeight="1" x14ac:dyDescent="0.3">
      <c r="B1" s="54" t="s">
        <v>250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2:22" ht="18" x14ac:dyDescent="0.35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2:22" ht="18" x14ac:dyDescent="0.35">
      <c r="B3" s="52" t="s">
        <v>251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2:22" ht="18" x14ac:dyDescent="0.35">
      <c r="B4" s="53" t="s">
        <v>261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2:22" ht="18" x14ac:dyDescent="0.35">
      <c r="B5" s="53" t="s">
        <v>262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</row>
    <row r="6" spans="2:22" ht="18" x14ac:dyDescent="0.35">
      <c r="B6" s="55" t="s">
        <v>263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2:22" ht="18" x14ac:dyDescent="0.35">
      <c r="B7" s="55" t="s">
        <v>264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</row>
    <row r="8" spans="2:22" ht="18" x14ac:dyDescent="0.35">
      <c r="B8" s="53" t="s">
        <v>265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</row>
    <row r="9" spans="2:22" ht="18" x14ac:dyDescent="0.35">
      <c r="B9" s="55" t="s">
        <v>266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</row>
    <row r="10" spans="2:22" ht="18" x14ac:dyDescent="0.35">
      <c r="B10" s="53" t="s">
        <v>274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 spans="2:22" ht="18" x14ac:dyDescent="0.35">
      <c r="B11" s="55" t="s">
        <v>267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</row>
    <row r="12" spans="2:22" ht="18" x14ac:dyDescent="0.35">
      <c r="B12" s="57" t="s">
        <v>259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spans="2:22" ht="18" x14ac:dyDescent="0.35">
      <c r="B13" s="57" t="s">
        <v>260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spans="2:22" ht="18" x14ac:dyDescent="0.35">
      <c r="B14" s="58" t="s">
        <v>252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 spans="2:22" ht="18" x14ac:dyDescent="0.35">
      <c r="B15" s="55" t="s">
        <v>268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</row>
    <row r="16" spans="2:22" ht="18" x14ac:dyDescent="0.35">
      <c r="B16" s="55" t="s">
        <v>269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</row>
    <row r="17" spans="2:22" ht="18" x14ac:dyDescent="0.35">
      <c r="B17" s="55" t="s">
        <v>270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</row>
    <row r="18" spans="2:22" x14ac:dyDescent="0.3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</row>
    <row r="19" spans="2:22" x14ac:dyDescent="0.3"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</row>
    <row r="20" spans="2:22" ht="18" x14ac:dyDescent="0.3">
      <c r="B20" s="61" t="s">
        <v>253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</row>
    <row r="21" spans="2:22" ht="18" x14ac:dyDescent="0.3">
      <c r="B21" s="62" t="s">
        <v>271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</row>
    <row r="22" spans="2:22" ht="18" x14ac:dyDescent="0.3">
      <c r="B22" s="62" t="s">
        <v>272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 spans="2:22" ht="18" x14ac:dyDescent="0.3">
      <c r="B23" s="64" t="s">
        <v>254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</row>
    <row r="24" spans="2:22" ht="18" x14ac:dyDescent="0.3">
      <c r="B24" s="64" t="s">
        <v>255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</row>
    <row r="25" spans="2:22" ht="18" x14ac:dyDescent="0.3">
      <c r="B25" s="64" t="s">
        <v>256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 spans="2:22" ht="18" x14ac:dyDescent="0.3">
      <c r="B26" s="64" t="s">
        <v>257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</row>
    <row r="27" spans="2:22" ht="18" x14ac:dyDescent="0.3">
      <c r="B27" s="64" t="s">
        <v>258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</row>
    <row r="28" spans="2:22" ht="18" x14ac:dyDescent="0.3">
      <c r="B28" s="62" t="s">
        <v>273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</row>
    <row r="29" spans="2:22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</row>
    <row r="30" spans="2:22" x14ac:dyDescent="0.3">
      <c r="B30" s="49" t="s">
        <v>280</v>
      </c>
      <c r="M30" s="50" t="s">
        <v>278</v>
      </c>
    </row>
    <row r="31" spans="2:22" x14ac:dyDescent="0.3">
      <c r="B31" s="49" t="s">
        <v>281</v>
      </c>
      <c r="M31" s="50" t="s">
        <v>279</v>
      </c>
    </row>
  </sheetData>
  <mergeCells count="29">
    <mergeCell ref="B29:V29"/>
    <mergeCell ref="B18:V18"/>
    <mergeCell ref="B19:V19"/>
    <mergeCell ref="B20:V20"/>
    <mergeCell ref="B21:V21"/>
    <mergeCell ref="B22:V22"/>
    <mergeCell ref="B23:V23"/>
    <mergeCell ref="B24:V24"/>
    <mergeCell ref="B25:V25"/>
    <mergeCell ref="B26:V26"/>
    <mergeCell ref="B27:V27"/>
    <mergeCell ref="B28:V28"/>
    <mergeCell ref="B17:V17"/>
    <mergeCell ref="B6:V6"/>
    <mergeCell ref="B7:V7"/>
    <mergeCell ref="B8:V8"/>
    <mergeCell ref="B9:V9"/>
    <mergeCell ref="B10:V10"/>
    <mergeCell ref="B11:V11"/>
    <mergeCell ref="B12:V12"/>
    <mergeCell ref="B13:V13"/>
    <mergeCell ref="B14:V14"/>
    <mergeCell ref="B15:V15"/>
    <mergeCell ref="B16:V16"/>
    <mergeCell ref="B2:V2"/>
    <mergeCell ref="B3:V3"/>
    <mergeCell ref="B4:V4"/>
    <mergeCell ref="B5:V5"/>
    <mergeCell ref="B1:V1"/>
  </mergeCells>
  <hyperlinks>
    <hyperlink ref="B14" r:id="rId1" display="../SitePages/Architecture-Exceptions.aspx" xr:uid="{B19AD726-8C3A-4417-A300-665DA81FFAB7}"/>
    <hyperlink ref="B10" r:id="rId2" display="../../GTS-ARB/Lists/ARBCalendar/NewForm.aspx?Source=https%3A%2F%2Faegonna.sharepoint.com%2Fsites%2FGTS-ARB%3FMode%3DEdit&amp;id=%2Fsites%2FGTS-ARB%2FLists%2FARBCalendar" xr:uid="{4244EA7C-683B-4D17-8DE5-9A1D8325CBC9}"/>
    <hyperlink ref="B8" r:id="rId3" display="../../GTS-ARB/Lists/ARBCalendar/NewForm.aspx?Source=https%3A%2F%2Faegonna.sharepoint.com%2Fsites%2FGTS-ARB%3FMode%3DEdit&amp;id=%2Fsites%2FGTS-ARB%2FLists%2FARBCalendar" xr:uid="{5CF0A163-C1EF-4D7E-812F-34ABED9B7065}"/>
    <hyperlink ref="B5" r:id="rId4" display="Forms/AllItems.aspx" xr:uid="{510D8981-B3B3-4E47-AA53-AD006F5AA67F}"/>
    <hyperlink ref="B4" r:id="rId5" display="https://aegon.sharepoint.com/sites/AGTSolutionDesignRepository/Shared Documents/Forms/AllItems.aspx" xr:uid="{B7A2E47F-1F2E-4AD6-BB46-2677CB19E0E6}"/>
    <hyperlink ref="B23" r:id="rId6" display="../SitePages/Project-Solutions.aspx" xr:uid="{2AB14CB7-C72F-480A-BD42-B2F0957124D1}"/>
    <hyperlink ref="B24" r:id="rId7" display="../SitePages/GTS-Component-Architecture-Standards.aspx" xr:uid="{FCE5E138-7486-4A0F-BC89-6F75DBA3E13B}"/>
    <hyperlink ref="B25" r:id="rId8" display="../SitePages/GTS-Reference-Architectures.aspx" xr:uid="{2A7CC9BE-DF6E-4FF0-99AF-AEDAFD6B7B38}"/>
    <hyperlink ref="B26" r:id="rId9" display="../SitePages/Architectural-Patterns.aspx" xr:uid="{7E598973-94A6-45BA-8A70-B5134D6F3032}"/>
    <hyperlink ref="B27" r:id="rId10" display="../SitePages/Proof-of-Concepts.aspx" xr:uid="{5DB78294-B1E6-48F8-9F54-D90148DA4FDE}"/>
    <hyperlink ref="M30" r:id="rId11" xr:uid="{47B26E6B-6B0D-4E5D-83B7-02EAB7726B4A}"/>
    <hyperlink ref="M31" r:id="rId12" xr:uid="{33F53A4D-61DF-4AD7-8E6A-4F3E960C90F8}"/>
  </hyperlinks>
  <pageMargins left="0.7" right="0.7" top="0.75" bottom="0.75" header="0.3" footer="0.3"/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160020</xdr:colOff>
                    <xdr:row>3</xdr:row>
                    <xdr:rowOff>22860</xdr:rowOff>
                  </from>
                  <to>
                    <xdr:col>0</xdr:col>
                    <xdr:colOff>411480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160020</xdr:colOff>
                    <xdr:row>3</xdr:row>
                    <xdr:rowOff>236220</xdr:rowOff>
                  </from>
                  <to>
                    <xdr:col>0</xdr:col>
                    <xdr:colOff>411480</xdr:colOff>
                    <xdr:row>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160020</xdr:colOff>
                    <xdr:row>4</xdr:row>
                    <xdr:rowOff>228600</xdr:rowOff>
                  </from>
                  <to>
                    <xdr:col>0</xdr:col>
                    <xdr:colOff>411480</xdr:colOff>
                    <xdr:row>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160020</xdr:colOff>
                    <xdr:row>5</xdr:row>
                    <xdr:rowOff>228600</xdr:rowOff>
                  </from>
                  <to>
                    <xdr:col>0</xdr:col>
                    <xdr:colOff>411480</xdr:colOff>
                    <xdr:row>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160020</xdr:colOff>
                    <xdr:row>6</xdr:row>
                    <xdr:rowOff>228600</xdr:rowOff>
                  </from>
                  <to>
                    <xdr:col>0</xdr:col>
                    <xdr:colOff>411480</xdr:colOff>
                    <xdr:row>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160020</xdr:colOff>
                    <xdr:row>8</xdr:row>
                    <xdr:rowOff>7620</xdr:rowOff>
                  </from>
                  <to>
                    <xdr:col>0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160020</xdr:colOff>
                    <xdr:row>9</xdr:row>
                    <xdr:rowOff>7620</xdr:rowOff>
                  </from>
                  <to>
                    <xdr:col>0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160020</xdr:colOff>
                    <xdr:row>9</xdr:row>
                    <xdr:rowOff>236220</xdr:rowOff>
                  </from>
                  <to>
                    <xdr:col>0</xdr:col>
                    <xdr:colOff>411480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160020</xdr:colOff>
                    <xdr:row>14</xdr:row>
                    <xdr:rowOff>22860</xdr:rowOff>
                  </from>
                  <to>
                    <xdr:col>0</xdr:col>
                    <xdr:colOff>411480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160020</xdr:colOff>
                    <xdr:row>15</xdr:row>
                    <xdr:rowOff>7620</xdr:rowOff>
                  </from>
                  <to>
                    <xdr:col>0</xdr:col>
                    <xdr:colOff>411480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160020</xdr:colOff>
                    <xdr:row>16</xdr:row>
                    <xdr:rowOff>22860</xdr:rowOff>
                  </from>
                  <to>
                    <xdr:col>0</xdr:col>
                    <xdr:colOff>411480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160020</xdr:colOff>
                    <xdr:row>20</xdr:row>
                    <xdr:rowOff>22860</xdr:rowOff>
                  </from>
                  <to>
                    <xdr:col>0</xdr:col>
                    <xdr:colOff>411480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160020</xdr:colOff>
                    <xdr:row>20</xdr:row>
                    <xdr:rowOff>236220</xdr:rowOff>
                  </from>
                  <to>
                    <xdr:col>0</xdr:col>
                    <xdr:colOff>411480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160020</xdr:colOff>
                    <xdr:row>26</xdr:row>
                    <xdr:rowOff>228600</xdr:rowOff>
                  </from>
                  <to>
                    <xdr:col>0</xdr:col>
                    <xdr:colOff>411480</xdr:colOff>
                    <xdr:row>27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160020</xdr:colOff>
                    <xdr:row>28</xdr:row>
                    <xdr:rowOff>228600</xdr:rowOff>
                  </from>
                  <to>
                    <xdr:col>0</xdr:col>
                    <xdr:colOff>411480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160020</xdr:colOff>
                    <xdr:row>29</xdr:row>
                    <xdr:rowOff>228600</xdr:rowOff>
                  </from>
                  <to>
                    <xdr:col>0</xdr:col>
                    <xdr:colOff>411480</xdr:colOff>
                    <xdr:row>31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E862-E634-4BBD-9593-84317083CAE8}">
  <dimension ref="A1:G31"/>
  <sheetViews>
    <sheetView zoomScaleNormal="100" workbookViewId="0">
      <pane ySplit="1" topLeftCell="A26" activePane="bottomLeft" state="frozen"/>
      <selection pane="bottomLeft" activeCell="D35" sqref="D35"/>
    </sheetView>
  </sheetViews>
  <sheetFormatPr defaultColWidth="10.59765625" defaultRowHeight="15.6" x14ac:dyDescent="0.3"/>
  <cols>
    <col min="1" max="1" width="22.59765625" style="2" customWidth="1"/>
    <col min="2" max="2" width="31.59765625" style="2" hidden="1" customWidth="1"/>
    <col min="3" max="3" width="54" style="21" customWidth="1"/>
    <col min="4" max="4" width="32.59765625" style="23" customWidth="1"/>
    <col min="5" max="5" width="23.09765625" style="3" customWidth="1"/>
    <col min="6" max="6" width="35" style="5" customWidth="1"/>
    <col min="7" max="7" width="56.09765625" style="21" customWidth="1"/>
    <col min="8" max="16384" width="10.59765625" style="2"/>
  </cols>
  <sheetData>
    <row r="1" spans="1:7" s="34" customFormat="1" ht="107.85" customHeight="1" x14ac:dyDescent="0.3">
      <c r="A1" s="35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5" t="s">
        <v>59</v>
      </c>
      <c r="G1" s="36" t="s">
        <v>7</v>
      </c>
    </row>
    <row r="2" spans="1:7" ht="31.2" x14ac:dyDescent="0.3">
      <c r="A2" s="24" t="s">
        <v>8</v>
      </c>
      <c r="B2" s="24"/>
      <c r="C2" s="25" t="s">
        <v>9</v>
      </c>
      <c r="D2" s="43" t="s">
        <v>60</v>
      </c>
      <c r="E2" s="33" t="s">
        <v>10</v>
      </c>
      <c r="F2" s="28"/>
      <c r="G2" s="37"/>
    </row>
    <row r="3" spans="1:7" ht="31.2" x14ac:dyDescent="0.3">
      <c r="A3" s="24" t="s">
        <v>8</v>
      </c>
      <c r="B3" s="26"/>
      <c r="C3" s="25" t="s">
        <v>12</v>
      </c>
      <c r="D3" s="43" t="s">
        <v>61</v>
      </c>
      <c r="E3" s="27">
        <f>IF(D3 = "Yes",1,IF(D3 = "N/A",1,0))</f>
        <v>1</v>
      </c>
      <c r="F3" s="28"/>
      <c r="G3" s="37"/>
    </row>
    <row r="4" spans="1:7" ht="31.2" x14ac:dyDescent="0.3">
      <c r="A4" s="24" t="s">
        <v>8</v>
      </c>
      <c r="B4" s="26"/>
      <c r="C4" s="29" t="s">
        <v>62</v>
      </c>
      <c r="D4" s="43" t="s">
        <v>63</v>
      </c>
      <c r="E4" s="27">
        <f>IF(D4="AWS",1,IF(D4="Physical DataCenter",1,IF(D4="Azure",1,IF(D4="SaaS",1,IF(D4="PaaS",1,IF(D4="Not Applicable",1,0))))))</f>
        <v>1</v>
      </c>
      <c r="F4" s="28"/>
      <c r="G4" s="37"/>
    </row>
    <row r="5" spans="1:7" x14ac:dyDescent="0.3">
      <c r="A5" s="24" t="s">
        <v>8</v>
      </c>
      <c r="B5" s="26"/>
      <c r="C5" s="25" t="s">
        <v>14</v>
      </c>
      <c r="D5" s="43" t="s">
        <v>64</v>
      </c>
      <c r="E5" s="27">
        <f>IF(D5="US - ADC - Cedar Rapids",1,IF(D5="EU - EDC - Edinburgh",1,IF(D5="AWS - Ohio",1,IF(D5="AWS - Ireland",1,IF(D5="AWS - N. Virginia",1,IF(D5="Azure - Multiple Approved",1,IF(D5="AWS - Multiple Approved",1,IF(D5="Azure - Northern Europe",1,IF(D5="Azure - East US",1,IF(D5="Azure - East US",1,IF(D5="EU - EDC",1,IF(D5="Both ADC and EDC",1,IF(D5="US - ADC",1,IF(D5="N/A",1,0))))))))))))))</f>
        <v>1</v>
      </c>
      <c r="F5" s="28"/>
      <c r="G5" s="37"/>
    </row>
    <row r="6" spans="1:7" ht="31.2" x14ac:dyDescent="0.3">
      <c r="A6" s="24" t="s">
        <v>8</v>
      </c>
      <c r="B6" s="26"/>
      <c r="C6" s="25" t="s">
        <v>65</v>
      </c>
      <c r="D6" s="43" t="s">
        <v>66</v>
      </c>
      <c r="E6" s="27">
        <f>IF(D6 = "Yes",1,IF(D6 = "Not a Final ARB",1,0))</f>
        <v>0</v>
      </c>
      <c r="F6" s="28"/>
      <c r="G6" s="41" t="s">
        <v>16</v>
      </c>
    </row>
    <row r="7" spans="1:7" ht="31.2" x14ac:dyDescent="0.3">
      <c r="A7" s="26" t="s">
        <v>8</v>
      </c>
      <c r="B7" s="26"/>
      <c r="C7" s="25" t="s">
        <v>67</v>
      </c>
      <c r="D7" s="43" t="s">
        <v>68</v>
      </c>
      <c r="E7" s="30">
        <f>IF(D7="Observability Pattern Name 1",1,IF(D7="Observability Pattern Name 2",1,IF(D7="Observability Pattern Name 3",1,IF(D7="Observability Pattern Name 4",1,IF(D7="Observability Pattern Name 5",1,IF(D7="Observability Pattern Name 6",1,IF(D7="Observability is not a requirement",1,0)))))))</f>
        <v>0</v>
      </c>
      <c r="F7" s="28"/>
      <c r="G7" s="37" t="s">
        <v>69</v>
      </c>
    </row>
    <row r="8" spans="1:7" x14ac:dyDescent="0.3">
      <c r="A8" s="24" t="s">
        <v>8</v>
      </c>
      <c r="B8" s="31"/>
      <c r="C8" s="29" t="s">
        <v>70</v>
      </c>
      <c r="D8" s="44" t="s">
        <v>71</v>
      </c>
      <c r="E8" s="30">
        <f>IF(D8="Resiliency Pattern Name 1",1,IF(D8="Resiliency Pattern Name 2",1,IF(D8="Resiliency Pattern Name 3",1,IF(D8="Resiliency Pattern Name 4",1,IF(D8="v",1,IF(D8="Resiliency is not a requirement",1,0))))))</f>
        <v>1</v>
      </c>
      <c r="F8" s="28"/>
      <c r="G8" s="37" t="s">
        <v>72</v>
      </c>
    </row>
    <row r="9" spans="1:7" x14ac:dyDescent="0.3">
      <c r="A9" s="24" t="s">
        <v>8</v>
      </c>
      <c r="B9" s="26"/>
      <c r="C9" s="25" t="s">
        <v>19</v>
      </c>
      <c r="D9" s="43" t="s">
        <v>73</v>
      </c>
      <c r="E9" s="27">
        <f>IF(D9="100% Availability (Platinum)",1,IF(D9="99.9% Availability (Gold)",1,IF(D9="99% Availability (Silver)",1,IF(D9="97% Availability (Bronze)",1,IF(D9="Availability is not a requirement",1,0)))))</f>
        <v>1</v>
      </c>
      <c r="F9" s="28"/>
      <c r="G9" s="41" t="s">
        <v>20</v>
      </c>
    </row>
    <row r="10" spans="1:7" x14ac:dyDescent="0.3">
      <c r="A10" s="24" t="s">
        <v>8</v>
      </c>
      <c r="B10" s="26"/>
      <c r="C10" s="25" t="s">
        <v>74</v>
      </c>
      <c r="D10" s="43" t="s">
        <v>75</v>
      </c>
      <c r="E10" s="27">
        <f>IF(D10="DR Pattern Name 1",1,IF(D10="DR Pattern Name 2",1,IF(D10="DR Pattern Name 3",1,IF(D10="DR Pattern Name 4",1,IF(D10="DR is not a requirement",1,0)))))</f>
        <v>0</v>
      </c>
      <c r="F10" s="28"/>
      <c r="G10" s="37" t="s">
        <v>76</v>
      </c>
    </row>
    <row r="11" spans="1:7" x14ac:dyDescent="0.3">
      <c r="A11" s="24" t="s">
        <v>8</v>
      </c>
      <c r="B11" s="26"/>
      <c r="C11" s="25" t="s">
        <v>77</v>
      </c>
      <c r="D11" s="43" t="s">
        <v>78</v>
      </c>
      <c r="E11" s="27">
        <f>IF(D11="Backup Pattern Name 1",1,IF(D11="Backup Pattern Name 2",1,IF(D11="Backup Pattern Name 3",1,IF(D11="Backup Pattern Name 4",1,IF(D11="Backup is not a requirement",1,0)))))</f>
        <v>0</v>
      </c>
      <c r="F11" s="28"/>
      <c r="G11" s="37" t="s">
        <v>79</v>
      </c>
    </row>
    <row r="12" spans="1:7" ht="31.2" x14ac:dyDescent="0.3">
      <c r="A12" s="24" t="s">
        <v>8</v>
      </c>
      <c r="B12" s="26"/>
      <c r="C12" s="25" t="s">
        <v>80</v>
      </c>
      <c r="D12" s="43" t="s">
        <v>81</v>
      </c>
      <c r="E12" s="30">
        <f>IF(D12="Deployment Pattern Name 1",1,IF(D12="Deployment Pattern Name 2",1,IF(D12="Deployment Pattern Name 3",1,IF(D12="Deployment Pattern Name 4",1,IF(D12="Deployment Pattern Name 5",1,IF(D12="Deployment Pattern Name 6",1,IF(D12="Deployment is not a requirement",1,0)))))))</f>
        <v>0</v>
      </c>
      <c r="F12" s="28"/>
      <c r="G12" s="37" t="s">
        <v>82</v>
      </c>
    </row>
    <row r="13" spans="1:7" ht="31.2" x14ac:dyDescent="0.3">
      <c r="A13" s="24" t="s">
        <v>8</v>
      </c>
      <c r="B13" s="31"/>
      <c r="C13" s="25" t="s">
        <v>24</v>
      </c>
      <c r="D13" s="44" t="s">
        <v>83</v>
      </c>
      <c r="E13" s="27">
        <f>IF(D13="Yes",1,IF(D13="N/A",1,IF(D13="Partial",0.5,0)))</f>
        <v>0.5</v>
      </c>
      <c r="G13" s="38" t="s">
        <v>25</v>
      </c>
    </row>
    <row r="14" spans="1:7" ht="62.4" x14ac:dyDescent="0.3">
      <c r="A14" s="26" t="s">
        <v>8</v>
      </c>
      <c r="B14" s="26"/>
      <c r="C14" s="25" t="s">
        <v>84</v>
      </c>
      <c r="D14" s="43" t="s">
        <v>85</v>
      </c>
      <c r="E14" s="27">
        <f>IF(D14="Third Party Integration Pattern Name 1",1,IF(D14="Third Party Integration Pattern Name 2",1,IF(D14="Third Party Integration Pattern Name 3",1,IF(D14="Third Party Integration Pattern Name 4",1,IF(D14="Third Party Integration Pattern Name 5",1,IF(D14="Third Party Integration Pattern Name 6",1,IF(D14="Third Party Integration is not a requirement",1,IF(D14="Multiple Approved Third Party Integration Patterns",1,0))))))))</f>
        <v>1</v>
      </c>
      <c r="F14" s="28"/>
      <c r="G14" s="37" t="s">
        <v>86</v>
      </c>
    </row>
    <row r="15" spans="1:7" ht="46.8" x14ac:dyDescent="0.3">
      <c r="A15" s="26" t="s">
        <v>8</v>
      </c>
      <c r="B15" s="26"/>
      <c r="C15" s="25" t="s">
        <v>87</v>
      </c>
      <c r="D15" s="43" t="s">
        <v>88</v>
      </c>
      <c r="E15" s="27">
        <f>IF(D15="Internal Integration Pattern Name 1",1,IF(D15="Internal Integration Pattern Name 2",1,IF(D15="Internal Integration Pattern Name 3",1,IF(D15="Internal Integration Pattern Name 4",1,IF(D15="Internal Integration Pattern Name 5",1,IF(D15="Internal Integration Pattern Name 6",1,IF(D15="Internal Integration is not a requirement",1,IF(D15="Multiple Approved Internal Integration Patterns",1,0))))))))</f>
        <v>1</v>
      </c>
      <c r="F15" s="28"/>
      <c r="G15" s="37" t="s">
        <v>89</v>
      </c>
    </row>
    <row r="16" spans="1:7" ht="31.2" x14ac:dyDescent="0.3">
      <c r="A16" s="26" t="s">
        <v>8</v>
      </c>
      <c r="B16" s="26" t="s">
        <v>29</v>
      </c>
      <c r="C16" s="25" t="s">
        <v>90</v>
      </c>
      <c r="D16" s="43" t="s">
        <v>10</v>
      </c>
      <c r="E16" s="27">
        <f>IF(D16 = "Yes",1,IF(D16 = "N/A",1,0))</f>
        <v>1</v>
      </c>
      <c r="F16" s="28"/>
      <c r="G16" s="37" t="s">
        <v>91</v>
      </c>
    </row>
    <row r="17" spans="1:7" ht="109.2" x14ac:dyDescent="0.3">
      <c r="A17" s="26" t="s">
        <v>8</v>
      </c>
      <c r="B17" s="26" t="s">
        <v>31</v>
      </c>
      <c r="C17" s="25" t="s">
        <v>32</v>
      </c>
      <c r="D17" s="43" t="s">
        <v>92</v>
      </c>
      <c r="E17" s="27">
        <f>IF(D17 = "Yes",1,IF(D17 = "Not Final ARB",1,0))</f>
        <v>1</v>
      </c>
      <c r="G17" s="39" t="s">
        <v>27</v>
      </c>
    </row>
    <row r="18" spans="1:7" x14ac:dyDescent="0.3">
      <c r="A18" s="26" t="s">
        <v>8</v>
      </c>
      <c r="B18" s="26" t="s">
        <v>31</v>
      </c>
      <c r="C18" s="25" t="s">
        <v>33</v>
      </c>
      <c r="D18" s="43" t="s">
        <v>10</v>
      </c>
      <c r="E18" s="27">
        <f>IF(D18="Yes",1,IF(D18="N/A",1,0))</f>
        <v>1</v>
      </c>
      <c r="F18" s="28"/>
      <c r="G18" s="37"/>
    </row>
    <row r="19" spans="1:7" ht="46.8" x14ac:dyDescent="0.3">
      <c r="A19" s="26" t="s">
        <v>8</v>
      </c>
      <c r="B19" s="26"/>
      <c r="C19" s="25" t="s">
        <v>34</v>
      </c>
      <c r="D19" s="43" t="s">
        <v>93</v>
      </c>
      <c r="E19" s="27">
        <f>IF(D19="Yes",1,IF(D19="Not Applicable For This Type of ARB",1,0))</f>
        <v>1</v>
      </c>
      <c r="F19" s="28"/>
      <c r="G19" s="37"/>
    </row>
    <row r="20" spans="1:7" ht="31.2" x14ac:dyDescent="0.3">
      <c r="A20" s="26" t="s">
        <v>8</v>
      </c>
      <c r="B20" s="26"/>
      <c r="C20" s="25" t="s">
        <v>35</v>
      </c>
      <c r="D20" s="43" t="s">
        <v>94</v>
      </c>
      <c r="E20" s="27">
        <f>IF(D20="Ping",1,IF(D20="PingOne",1,IF(D20="ISAM",1,IF(D20="TACACS+",1,IF(D20="OKTA",1,IF(D20="Identity is not a part of the solution",1,0))))))</f>
        <v>1</v>
      </c>
      <c r="F20" s="28"/>
      <c r="G20" s="37"/>
    </row>
    <row r="21" spans="1:7" x14ac:dyDescent="0.3">
      <c r="A21" s="26" t="s">
        <v>8</v>
      </c>
      <c r="B21" s="26"/>
      <c r="C21" s="25" t="s">
        <v>36</v>
      </c>
      <c r="D21" s="43" t="s">
        <v>95</v>
      </c>
      <c r="E21" s="27">
        <f>IF(D21 = "CyberArk",1,IF(D21 = "AWS Secrets Manager",1,IF(D21 = "Secrets management is not a requirement",1,0)))</f>
        <v>1</v>
      </c>
      <c r="F21" s="28"/>
      <c r="G21" s="37"/>
    </row>
    <row r="22" spans="1:7" ht="31.2" x14ac:dyDescent="0.3">
      <c r="A22" s="26" t="s">
        <v>37</v>
      </c>
      <c r="B22" s="26"/>
      <c r="C22" s="25" t="s">
        <v>38</v>
      </c>
      <c r="D22" s="43" t="s">
        <v>96</v>
      </c>
      <c r="E22" s="27">
        <f>IF(D22="Yes - TRA Is Required and Complete",1,IF(D22="No - TRA Is Not Required",1,0))</f>
        <v>0</v>
      </c>
      <c r="F22" s="28"/>
      <c r="G22" s="41" t="s">
        <v>39</v>
      </c>
    </row>
    <row r="23" spans="1:7" ht="31.2" x14ac:dyDescent="0.3">
      <c r="A23" s="26" t="s">
        <v>37</v>
      </c>
      <c r="B23" s="26"/>
      <c r="C23" s="32" t="s">
        <v>40</v>
      </c>
      <c r="D23" s="43" t="s">
        <v>97</v>
      </c>
      <c r="E23" s="27">
        <f>IF(D23="Yes",1,IF(D23="Yes - With Exception",0.5,IF(D23="Not Final ARB",1,0)))</f>
        <v>0.5</v>
      </c>
      <c r="F23" s="28"/>
      <c r="G23" s="41"/>
    </row>
    <row r="24" spans="1:7" ht="31.2" x14ac:dyDescent="0.3">
      <c r="A24" s="26" t="s">
        <v>43</v>
      </c>
      <c r="B24" s="26" t="s">
        <v>43</v>
      </c>
      <c r="C24" s="32" t="s">
        <v>98</v>
      </c>
      <c r="D24" s="43" t="s">
        <v>97</v>
      </c>
      <c r="E24" s="27">
        <f>IF(D24="Yes",1,IF(D24="Yes - With Exception",0.5,IF(D24="Not Final ARB",1,0)))</f>
        <v>0.5</v>
      </c>
      <c r="F24" s="28"/>
      <c r="G24" s="37" t="s">
        <v>99</v>
      </c>
    </row>
    <row r="25" spans="1:7" ht="374.4" x14ac:dyDescent="0.3">
      <c r="A25" s="24" t="s">
        <v>42</v>
      </c>
      <c r="B25" s="31"/>
      <c r="C25" s="29" t="s">
        <v>100</v>
      </c>
      <c r="D25" s="43" t="s">
        <v>101</v>
      </c>
      <c r="E25" s="27">
        <f>IF(D25="Yes",1,IF(D25="Solution Does Not Requre a Data Protection Impact Assessment",1,0))</f>
        <v>1</v>
      </c>
      <c r="F25" s="28"/>
      <c r="G25" s="42" t="s">
        <v>47</v>
      </c>
    </row>
    <row r="26" spans="1:7" ht="31.2" x14ac:dyDescent="0.3">
      <c r="A26" s="26" t="s">
        <v>48</v>
      </c>
      <c r="B26" s="26"/>
      <c r="C26" s="32" t="s">
        <v>102</v>
      </c>
      <c r="D26" s="43" t="s">
        <v>97</v>
      </c>
      <c r="E26" s="27">
        <f>IF(D26="Yes",1,IF(D26="Yes - With Exception",0.5,IF(D26="Not Final ARB",1,0)))</f>
        <v>0.5</v>
      </c>
      <c r="F26" s="28"/>
      <c r="G26" s="37" t="s">
        <v>103</v>
      </c>
    </row>
    <row r="27" spans="1:7" ht="62.4" x14ac:dyDescent="0.3">
      <c r="A27" s="26" t="s">
        <v>51</v>
      </c>
      <c r="B27" s="26"/>
      <c r="C27" s="29" t="s">
        <v>104</v>
      </c>
      <c r="D27" s="43" t="s">
        <v>66</v>
      </c>
      <c r="E27" s="27">
        <f>IF(D27 = "Yes",1,0)</f>
        <v>0</v>
      </c>
      <c r="G27" s="40" t="s">
        <v>105</v>
      </c>
    </row>
    <row r="28" spans="1:7" ht="31.2" x14ac:dyDescent="0.3">
      <c r="A28" s="24" t="s">
        <v>54</v>
      </c>
      <c r="B28" s="31"/>
      <c r="C28" s="32" t="s">
        <v>106</v>
      </c>
      <c r="D28" s="43" t="s">
        <v>97</v>
      </c>
      <c r="E28" s="27">
        <f>IF(D28="Yes",1,IF(D28="Yes - With Exception",0.5,IF(D28="Not Final ARB",1,0)))</f>
        <v>0.5</v>
      </c>
      <c r="F28" s="28"/>
      <c r="G28" s="37" t="s">
        <v>107</v>
      </c>
    </row>
    <row r="29" spans="1:7" ht="31.2" x14ac:dyDescent="0.3">
      <c r="A29" s="24" t="s">
        <v>54</v>
      </c>
      <c r="B29" s="31" t="s">
        <v>57</v>
      </c>
      <c r="C29" s="29" t="s">
        <v>58</v>
      </c>
      <c r="D29" s="43" t="s">
        <v>66</v>
      </c>
      <c r="E29" s="27">
        <f>IF(D29 = "No",1,IF(D29 = "N/A",1,0))</f>
        <v>1</v>
      </c>
      <c r="F29" s="28"/>
      <c r="G29" s="37"/>
    </row>
    <row r="30" spans="1:7" ht="16.2" thickBot="1" x14ac:dyDescent="0.35"/>
    <row r="31" spans="1:7" ht="16.2" thickBot="1" x14ac:dyDescent="0.35">
      <c r="D31" s="45" t="s">
        <v>0</v>
      </c>
      <c r="E31" s="46">
        <f>SUM(E2:E28)/27</f>
        <v>0.61111111111111116</v>
      </c>
    </row>
  </sheetData>
  <autoFilter ref="A1:G29" xr:uid="{C8F5E862-E634-4BBD-9593-84317083CAE8}"/>
  <sortState xmlns:xlrd2="http://schemas.microsoft.com/office/spreadsheetml/2017/richdata2" ref="A2:G29">
    <sortCondition ref="A2:A29"/>
  </sortState>
  <conditionalFormatting sqref="E3:E4 E6:E29">
    <cfRule type="colorScale" priority="19">
      <colorScale>
        <cfvo type="min"/>
        <cfvo type="max"/>
        <color theme="5" tint="0.59999389629810485"/>
        <color theme="9" tint="0.79998168889431442"/>
      </colorScale>
    </cfRule>
  </conditionalFormatting>
  <conditionalFormatting sqref="E5">
    <cfRule type="colorScale" priority="3">
      <colorScale>
        <cfvo type="min"/>
        <cfvo type="max"/>
        <color theme="5" tint="0.59999389629810485"/>
        <color theme="9" tint="0.79998168889431442"/>
      </colorScale>
    </cfRule>
  </conditionalFormatting>
  <conditionalFormatting sqref="E31">
    <cfRule type="cellIs" dxfId="1" priority="1" operator="between">
      <formula>0.9</formula>
      <formula>1</formula>
    </cfRule>
    <cfRule type="cellIs" dxfId="0" priority="2" operator="between">
      <formula>0</formula>
      <formula>0.899</formula>
    </cfRule>
  </conditionalFormatting>
  <dataValidations count="11">
    <dataValidation type="list" allowBlank="1" showInputMessage="1" showErrorMessage="1" sqref="D30 D32:D1048576" xr:uid="{FE6F4BB9-0DF5-47F3-A794-561319C798E0}">
      <formula1>$R$1:$R$6</formula1>
    </dataValidation>
    <dataValidation type="list" allowBlank="1" showInputMessage="1" showErrorMessage="1" sqref="D3" xr:uid="{275F8836-AF0B-48A3-89E2-B390F1BEBD2B}">
      <formula1>Answers</formula1>
    </dataValidation>
    <dataValidation type="list" allowBlank="1" showInputMessage="1" showErrorMessage="1" sqref="D27" xr:uid="{0278A199-13A3-4E7B-A52B-311A50CAE65D}">
      <formula1>"Yes, No"</formula1>
    </dataValidation>
    <dataValidation type="list" allowBlank="1" showInputMessage="1" showErrorMessage="1" sqref="D27" xr:uid="{856B28FF-9688-4716-A7F8-A5959CED53CC}">
      <formula1>"Yes, No, Don't know"</formula1>
    </dataValidation>
    <dataValidation type="list" allowBlank="1" showInputMessage="1" showErrorMessage="1" sqref="D17" xr:uid="{464F7A72-1EBA-46C5-B4E1-9EF1BE160033}">
      <formula1>"Yes, No, Not Final ARB"</formula1>
    </dataValidation>
    <dataValidation type="list" allowBlank="1" showInputMessage="1" showErrorMessage="1" sqref="D16 D18 D29" xr:uid="{BF58A990-BDF8-49CF-AF64-40EB1408C479}">
      <formula1>"Yes, No, N/A"</formula1>
    </dataValidation>
    <dataValidation type="list" allowBlank="1" showInputMessage="1" showErrorMessage="1" sqref="D25" xr:uid="{037D7C1F-7EC8-4382-A8A6-77467334290A}">
      <formula1>"Yes, No, Solution Does Not Requre a Data Protection Impact Assessment"</formula1>
    </dataValidation>
    <dataValidation type="list" allowBlank="1" showInputMessage="1" showErrorMessage="1" sqref="D6" xr:uid="{8E587C3A-822A-4328-9968-6C511FBA2E81}">
      <formula1>"Yes, No, Not a Final ARB"</formula1>
    </dataValidation>
    <dataValidation type="list" allowBlank="1" showInputMessage="1" showErrorMessage="1" sqref="D19" xr:uid="{7E91E490-6771-436F-B849-15889BB36462}">
      <formula1>"Yes, No, Not Applicable For This Type of ARB"</formula1>
    </dataValidation>
    <dataValidation type="list" allowBlank="1" showInputMessage="1" showErrorMessage="1" sqref="D22" xr:uid="{E450D1C9-74F3-4A9D-82D5-40DAB6DFA96C}">
      <formula1>"Yes - TRA is required and Complete, Yes - TRA is required and not complete, No - TRA is Not Required"</formula1>
    </dataValidation>
    <dataValidation type="list" allowBlank="1" showInputMessage="1" showErrorMessage="1" sqref="D26 D28 D23:D24" xr:uid="{CE3E1335-53C7-4EFD-8B0E-1E356239E764}">
      <formula1>"Yes, Yes - With Exception, No, Not Final ARB"</formula1>
    </dataValidation>
  </dataValidations>
  <hyperlinks>
    <hyperlink ref="G13" r:id="rId1" display="https://aegonna.sharepoint.com/sites/GEA/SitePages/Architecture-Principles.aspx" xr:uid="{1EB0469C-98D4-44D8-A88F-37CA4ADD7DE7}"/>
    <hyperlink ref="G9" r:id="rId2" xr:uid="{54589B64-D1F8-451B-A757-BC75AD7F6C6E}"/>
    <hyperlink ref="G6" r:id="rId3" xr:uid="{BE02F9F6-6ECE-4A7D-BABB-77C00C86AC8A}"/>
    <hyperlink ref="G22" r:id="rId4" xr:uid="{B2115E05-66B8-4BB5-ABD9-74BD6451FB39}"/>
  </hyperlinks>
  <pageMargins left="0.7" right="0.7" top="0.75" bottom="0.75" header="0.3" footer="0.3"/>
  <ignoredErrors>
    <ignoredError sqref="E29 E18 E27" formula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C9D6A15-5EF5-428C-B9D2-6C4552070C15}">
          <x14:formula1>
            <xm:f>References!$V$4:$V$10</xm:f>
          </x14:formula1>
          <xm:sqref>D20</xm:sqref>
        </x14:dataValidation>
        <x14:dataValidation type="list" allowBlank="1" showInputMessage="1" showErrorMessage="1" xr:uid="{928976EF-7B34-424F-AE31-53D62DC069A2}">
          <x14:formula1>
            <xm:f>References!$G$4:$G$9</xm:f>
          </x14:formula1>
          <xm:sqref>D10</xm:sqref>
        </x14:dataValidation>
        <x14:dataValidation type="list" allowBlank="1" showInputMessage="1" showErrorMessage="1" xr:uid="{079CAE7C-AAEA-4A1E-B6D2-086C00FCFA38}">
          <x14:formula1>
            <xm:f>References!$F$4:$F$9</xm:f>
          </x14:formula1>
          <xm:sqref>D11</xm:sqref>
        </x14:dataValidation>
        <x14:dataValidation type="list" allowBlank="1" showInputMessage="1" showErrorMessage="1" xr:uid="{DF59E26D-8CB1-4C78-8517-96D4A99ED97C}">
          <x14:formula1>
            <xm:f>References!$T$4:$T$10</xm:f>
          </x14:formula1>
          <xm:sqref>D4</xm:sqref>
        </x14:dataValidation>
        <x14:dataValidation type="list" allowBlank="1" showInputMessage="1" showErrorMessage="1" xr:uid="{529978FC-1C7A-40ED-8940-5F50346A5ACB}">
          <x14:formula1>
            <xm:f>References!$E$4:$E$11</xm:f>
          </x14:formula1>
          <xm:sqref>D12</xm:sqref>
        </x14:dataValidation>
        <x14:dataValidation type="list" allowBlank="1" showInputMessage="1" showErrorMessage="1" xr:uid="{97DC3A47-B7C3-484D-A22C-54F21D56526C}">
          <x14:formula1>
            <xm:f>References!$W$4:$W$8</xm:f>
          </x14:formula1>
          <xm:sqref>D21</xm:sqref>
        </x14:dataValidation>
        <x14:dataValidation type="list" allowBlank="1" showInputMessage="1" showErrorMessage="1" xr:uid="{48461D91-05CC-4DC0-B2DC-D8969994CD34}">
          <x14:formula1>
            <xm:f>References!$L$4:$L$8</xm:f>
          </x14:formula1>
          <xm:sqref>D13</xm:sqref>
        </x14:dataValidation>
        <x14:dataValidation type="list" allowBlank="1" showInputMessage="1" showErrorMessage="1" xr:uid="{7AAAEB8F-A633-4863-A6EC-3562A72BFAB8}">
          <x14:formula1>
            <xm:f>References!$I$4:$I$9</xm:f>
          </x14:formula1>
          <xm:sqref>D8</xm:sqref>
        </x14:dataValidation>
        <x14:dataValidation type="list" allowBlank="1" showInputMessage="1" showErrorMessage="1" xr:uid="{FD43B511-E19E-4BF5-A51A-53B111FAA42C}">
          <x14:formula1>
            <xm:f>References!$D$4:$D$10</xm:f>
          </x14:formula1>
          <xm:sqref>D7:D8</xm:sqref>
        </x14:dataValidation>
        <x14:dataValidation type="list" allowBlank="1" showInputMessage="1" showErrorMessage="1" xr:uid="{E5F26641-54D0-4234-A581-15A0375FCD14}">
          <x14:formula1>
            <xm:f>References!$U$4:$U$14</xm:f>
          </x14:formula1>
          <xm:sqref>D5</xm:sqref>
        </x14:dataValidation>
        <x14:dataValidation type="list" allowBlank="1" showInputMessage="1" showErrorMessage="1" xr:uid="{5C518A7F-0628-4107-8C63-3897022ED4DB}">
          <x14:formula1>
            <xm:f>References!$Y$4:$Y$12</xm:f>
          </x14:formula1>
          <xm:sqref>D2</xm:sqref>
        </x14:dataValidation>
        <x14:dataValidation type="list" allowBlank="1" showInputMessage="1" showErrorMessage="1" xr:uid="{DB8AF89C-62AD-4A82-895D-FDBAC09B3A54}">
          <x14:formula1>
            <xm:f>References!$K$4:$K$8</xm:f>
          </x14:formula1>
          <xm:sqref>D9</xm:sqref>
        </x14:dataValidation>
        <x14:dataValidation type="list" allowBlank="1" showInputMessage="1" showErrorMessage="1" xr:uid="{2C5346EC-ACA7-487E-81FE-BB81DA11148E}">
          <x14:formula1>
            <xm:f>References!$H$4:$H$12</xm:f>
          </x14:formula1>
          <xm:sqref>D14</xm:sqref>
        </x14:dataValidation>
        <x14:dataValidation type="list" allowBlank="1" showInputMessage="1" showErrorMessage="1" xr:uid="{0512AAC3-CA3C-4A24-9DBF-1B059D0FA23F}">
          <x14:formula1>
            <xm:f>References!$J$4:$J$12</xm:f>
          </x14:formula1>
          <xm:sqref>D15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3:Z36"/>
  <sheetViews>
    <sheetView workbookViewId="0">
      <selection activeCell="A6" sqref="A6"/>
    </sheetView>
  </sheetViews>
  <sheetFormatPr defaultColWidth="8.59765625" defaultRowHeight="15.6" x14ac:dyDescent="0.3"/>
  <cols>
    <col min="1" max="1" width="23.09765625" customWidth="1"/>
    <col min="4" max="4" width="38.59765625" bestFit="1" customWidth="1"/>
    <col min="5" max="5" width="59.59765625" customWidth="1"/>
    <col min="6" max="6" width="32.59765625" customWidth="1"/>
    <col min="7" max="8" width="26.09765625" customWidth="1"/>
    <col min="9" max="10" width="35.09765625" customWidth="1"/>
    <col min="11" max="11" width="39.09765625" customWidth="1"/>
    <col min="12" max="12" width="10.59765625" customWidth="1"/>
    <col min="13" max="13" width="21.59765625" bestFit="1" customWidth="1"/>
    <col min="14" max="18" width="21.59765625" customWidth="1"/>
    <col min="19" max="19" width="19.59765625" bestFit="1" customWidth="1"/>
    <col min="20" max="20" width="19.59765625" customWidth="1"/>
    <col min="21" max="21" width="20.5" bestFit="1" customWidth="1"/>
    <col min="22" max="22" width="32.59765625" customWidth="1"/>
    <col min="23" max="23" width="42.09765625" bestFit="1" customWidth="1"/>
    <col min="24" max="24" width="14.59765625" bestFit="1" customWidth="1"/>
    <col min="25" max="25" width="46.09765625" bestFit="1" customWidth="1"/>
    <col min="26" max="26" width="22.09765625" customWidth="1"/>
  </cols>
  <sheetData>
    <row r="3" spans="1:26" ht="62.4" x14ac:dyDescent="0.3">
      <c r="A3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  <c r="J3" s="4" t="s">
        <v>115</v>
      </c>
      <c r="K3" s="4" t="s">
        <v>20</v>
      </c>
      <c r="L3" s="4" t="s">
        <v>116</v>
      </c>
      <c r="M3" s="4" t="s">
        <v>117</v>
      </c>
      <c r="N3" s="4" t="s">
        <v>118</v>
      </c>
      <c r="O3" s="4" t="s">
        <v>119</v>
      </c>
      <c r="P3" s="4" t="s">
        <v>120</v>
      </c>
      <c r="Q3" s="4" t="s">
        <v>121</v>
      </c>
      <c r="R3" s="4" t="s">
        <v>122</v>
      </c>
      <c r="S3" s="4" t="s">
        <v>123</v>
      </c>
      <c r="T3" s="4" t="s">
        <v>124</v>
      </c>
      <c r="U3" s="4" t="s">
        <v>125</v>
      </c>
      <c r="V3" s="4" t="s">
        <v>126</v>
      </c>
      <c r="W3" s="4" t="s">
        <v>127</v>
      </c>
      <c r="X3" s="4" t="s">
        <v>128</v>
      </c>
      <c r="Y3" s="4" t="s">
        <v>129</v>
      </c>
      <c r="Z3" s="4" t="s">
        <v>130</v>
      </c>
    </row>
    <row r="4" spans="1:26" ht="31.2" x14ac:dyDescent="0.3">
      <c r="A4" t="s">
        <v>131</v>
      </c>
      <c r="D4" s="1" t="s">
        <v>132</v>
      </c>
      <c r="E4" s="1" t="s">
        <v>133</v>
      </c>
      <c r="F4" s="1" t="s">
        <v>134</v>
      </c>
      <c r="G4" s="22" t="s">
        <v>135</v>
      </c>
      <c r="H4" s="22" t="s">
        <v>136</v>
      </c>
      <c r="I4" s="22" t="s">
        <v>137</v>
      </c>
      <c r="J4" s="22" t="s">
        <v>138</v>
      </c>
      <c r="K4" s="1" t="s">
        <v>139</v>
      </c>
      <c r="L4" s="1" t="s">
        <v>66</v>
      </c>
      <c r="M4" s="1" t="s">
        <v>140</v>
      </c>
      <c r="N4" s="2" t="s">
        <v>61</v>
      </c>
      <c r="O4" s="2" t="s">
        <v>61</v>
      </c>
      <c r="P4" s="2" t="s">
        <v>61</v>
      </c>
      <c r="Q4" s="2" t="s">
        <v>141</v>
      </c>
      <c r="R4" s="2">
        <v>0</v>
      </c>
      <c r="S4" s="6" t="s">
        <v>142</v>
      </c>
      <c r="T4" s="2" t="s">
        <v>143</v>
      </c>
      <c r="U4" s="2" t="s">
        <v>64</v>
      </c>
      <c r="V4" s="2" t="s">
        <v>94</v>
      </c>
      <c r="W4" s="2" t="s">
        <v>144</v>
      </c>
      <c r="X4" s="2" t="s">
        <v>145</v>
      </c>
      <c r="Y4" s="2" t="s">
        <v>146</v>
      </c>
      <c r="Z4" s="2" t="s">
        <v>61</v>
      </c>
    </row>
    <row r="5" spans="1:26" ht="31.2" x14ac:dyDescent="0.3">
      <c r="D5" s="1" t="s">
        <v>147</v>
      </c>
      <c r="E5" s="1" t="s">
        <v>148</v>
      </c>
      <c r="F5" s="1" t="s">
        <v>149</v>
      </c>
      <c r="G5" s="22" t="s">
        <v>150</v>
      </c>
      <c r="H5" s="22" t="s">
        <v>151</v>
      </c>
      <c r="I5" s="22" t="s">
        <v>152</v>
      </c>
      <c r="J5" s="22" t="s">
        <v>153</v>
      </c>
      <c r="K5" s="1" t="s">
        <v>154</v>
      </c>
      <c r="L5" s="2" t="s">
        <v>83</v>
      </c>
      <c r="M5" s="2" t="s">
        <v>155</v>
      </c>
      <c r="N5" s="2" t="s">
        <v>66</v>
      </c>
      <c r="O5" s="2" t="s">
        <v>66</v>
      </c>
      <c r="P5" s="2" t="s">
        <v>66</v>
      </c>
      <c r="Q5" s="2" t="s">
        <v>156</v>
      </c>
      <c r="R5" s="2">
        <v>1</v>
      </c>
      <c r="S5" s="6" t="s">
        <v>8</v>
      </c>
      <c r="T5" s="2" t="s">
        <v>157</v>
      </c>
      <c r="U5" s="2" t="s">
        <v>158</v>
      </c>
      <c r="V5" s="2" t="s">
        <v>159</v>
      </c>
      <c r="W5" s="2" t="s">
        <v>95</v>
      </c>
      <c r="X5" s="2" t="s">
        <v>160</v>
      </c>
      <c r="Y5" s="2" t="s">
        <v>60</v>
      </c>
      <c r="Z5" s="2" t="s">
        <v>66</v>
      </c>
    </row>
    <row r="6" spans="1:26" ht="62.4" x14ac:dyDescent="0.3">
      <c r="D6" s="1" t="s">
        <v>161</v>
      </c>
      <c r="E6" s="1" t="s">
        <v>162</v>
      </c>
      <c r="F6" s="1" t="s">
        <v>163</v>
      </c>
      <c r="G6" s="21" t="s">
        <v>164</v>
      </c>
      <c r="H6" s="22" t="s">
        <v>165</v>
      </c>
      <c r="I6" s="22" t="s">
        <v>166</v>
      </c>
      <c r="J6" s="22" t="s">
        <v>167</v>
      </c>
      <c r="K6" s="1" t="s">
        <v>168</v>
      </c>
      <c r="L6" s="2" t="s">
        <v>10</v>
      </c>
      <c r="M6" s="2" t="s">
        <v>169</v>
      </c>
      <c r="N6" s="2" t="s">
        <v>170</v>
      </c>
      <c r="O6" s="21" t="s">
        <v>171</v>
      </c>
      <c r="P6" s="21" t="s">
        <v>172</v>
      </c>
      <c r="Q6" s="21" t="s">
        <v>173</v>
      </c>
      <c r="R6" s="2">
        <v>2</v>
      </c>
      <c r="S6" s="6" t="s">
        <v>51</v>
      </c>
      <c r="T6" s="2" t="s">
        <v>174</v>
      </c>
      <c r="U6" s="2" t="s">
        <v>175</v>
      </c>
      <c r="V6" s="2" t="s">
        <v>176</v>
      </c>
      <c r="W6" s="2" t="s">
        <v>177</v>
      </c>
      <c r="X6" s="2" t="s">
        <v>178</v>
      </c>
      <c r="Y6" s="2" t="s">
        <v>179</v>
      </c>
      <c r="Z6" s="2" t="s">
        <v>10</v>
      </c>
    </row>
    <row r="7" spans="1:26" ht="46.8" x14ac:dyDescent="0.3">
      <c r="D7" s="1" t="s">
        <v>180</v>
      </c>
      <c r="E7" s="1" t="s">
        <v>181</v>
      </c>
      <c r="F7" s="1" t="s">
        <v>182</v>
      </c>
      <c r="G7" s="2" t="s">
        <v>183</v>
      </c>
      <c r="H7" s="22" t="s">
        <v>184</v>
      </c>
      <c r="I7" s="22" t="s">
        <v>185</v>
      </c>
      <c r="J7" s="22" t="s">
        <v>186</v>
      </c>
      <c r="K7" s="1" t="s">
        <v>187</v>
      </c>
      <c r="L7" s="2" t="s">
        <v>61</v>
      </c>
      <c r="M7" s="2" t="s">
        <v>188</v>
      </c>
      <c r="N7" s="2" t="s">
        <v>189</v>
      </c>
      <c r="O7" s="2"/>
      <c r="P7" s="2"/>
      <c r="Q7" s="21" t="s">
        <v>190</v>
      </c>
      <c r="R7" s="2">
        <v>3</v>
      </c>
      <c r="S7" s="6" t="s">
        <v>54</v>
      </c>
      <c r="T7" s="2" t="s">
        <v>191</v>
      </c>
      <c r="U7" s="2" t="s">
        <v>192</v>
      </c>
      <c r="V7" s="2" t="s">
        <v>193</v>
      </c>
      <c r="W7" s="2" t="s">
        <v>194</v>
      </c>
      <c r="X7" s="2" t="s">
        <v>195</v>
      </c>
      <c r="Y7" s="2" t="s">
        <v>196</v>
      </c>
    </row>
    <row r="8" spans="1:26" ht="31.2" x14ac:dyDescent="0.3">
      <c r="D8" s="1" t="s">
        <v>197</v>
      </c>
      <c r="E8" s="1" t="s">
        <v>198</v>
      </c>
      <c r="F8" s="1" t="s">
        <v>199</v>
      </c>
      <c r="G8" s="2" t="s">
        <v>200</v>
      </c>
      <c r="H8" s="22" t="s">
        <v>201</v>
      </c>
      <c r="I8" s="2" t="s">
        <v>202</v>
      </c>
      <c r="J8" s="22" t="s">
        <v>203</v>
      </c>
      <c r="K8" s="2" t="s">
        <v>204</v>
      </c>
      <c r="L8" s="2" t="s">
        <v>205</v>
      </c>
      <c r="M8" s="2" t="s">
        <v>206</v>
      </c>
      <c r="N8" s="2"/>
      <c r="O8" s="2"/>
      <c r="P8" s="2"/>
      <c r="Q8" s="2" t="s">
        <v>207</v>
      </c>
      <c r="R8" s="2">
        <v>4</v>
      </c>
      <c r="S8" s="6" t="s">
        <v>208</v>
      </c>
      <c r="T8" s="2" t="s">
        <v>209</v>
      </c>
      <c r="U8" s="2" t="s">
        <v>210</v>
      </c>
      <c r="V8" s="2" t="s">
        <v>211</v>
      </c>
      <c r="W8" s="2" t="s">
        <v>212</v>
      </c>
      <c r="X8" s="2" t="s">
        <v>213</v>
      </c>
      <c r="Y8" s="2" t="s">
        <v>214</v>
      </c>
    </row>
    <row r="9" spans="1:26" ht="31.2" x14ac:dyDescent="0.3">
      <c r="D9" s="2" t="s">
        <v>215</v>
      </c>
      <c r="E9" s="1" t="s">
        <v>216</v>
      </c>
      <c r="F9" s="2" t="s">
        <v>78</v>
      </c>
      <c r="G9" s="2" t="s">
        <v>75</v>
      </c>
      <c r="H9" s="22" t="s">
        <v>217</v>
      </c>
      <c r="I9" s="2" t="s">
        <v>71</v>
      </c>
      <c r="J9" s="22" t="s">
        <v>218</v>
      </c>
      <c r="K9" s="2" t="s">
        <v>73</v>
      </c>
      <c r="L9" s="2"/>
      <c r="M9" s="2" t="s">
        <v>219</v>
      </c>
      <c r="N9" s="2"/>
      <c r="O9" s="2"/>
      <c r="P9" s="2"/>
      <c r="Q9" s="2"/>
      <c r="R9" s="2">
        <v>9</v>
      </c>
      <c r="S9" s="6" t="s">
        <v>220</v>
      </c>
      <c r="T9" s="2" t="s">
        <v>221</v>
      </c>
      <c r="U9" s="2" t="s">
        <v>222</v>
      </c>
      <c r="V9" s="2" t="s">
        <v>221</v>
      </c>
      <c r="X9" s="2" t="s">
        <v>223</v>
      </c>
      <c r="Y9" s="2" t="s">
        <v>224</v>
      </c>
    </row>
    <row r="10" spans="1:26" ht="31.2" x14ac:dyDescent="0.3">
      <c r="D10" s="2" t="s">
        <v>68</v>
      </c>
      <c r="E10" s="2" t="s">
        <v>225</v>
      </c>
      <c r="H10" s="21" t="s">
        <v>85</v>
      </c>
      <c r="I10" s="22"/>
      <c r="J10" s="22" t="s">
        <v>88</v>
      </c>
      <c r="L10" s="2"/>
      <c r="T10" s="2" t="s">
        <v>226</v>
      </c>
      <c r="U10" s="2" t="s">
        <v>227</v>
      </c>
      <c r="V10" s="2" t="s">
        <v>228</v>
      </c>
      <c r="X10" s="2" t="s">
        <v>229</v>
      </c>
      <c r="Y10" s="2" t="s">
        <v>230</v>
      </c>
    </row>
    <row r="11" spans="1:26" x14ac:dyDescent="0.3">
      <c r="E11" s="2" t="s">
        <v>81</v>
      </c>
      <c r="H11" s="21" t="s">
        <v>221</v>
      </c>
      <c r="I11" s="22"/>
      <c r="J11" s="22" t="s">
        <v>221</v>
      </c>
      <c r="T11" s="2" t="s">
        <v>10</v>
      </c>
      <c r="U11" s="2" t="s">
        <v>231</v>
      </c>
      <c r="X11" s="2" t="s">
        <v>232</v>
      </c>
      <c r="Y11" s="2" t="s">
        <v>233</v>
      </c>
    </row>
    <row r="12" spans="1:26" ht="31.2" x14ac:dyDescent="0.3">
      <c r="H12" s="21" t="s">
        <v>234</v>
      </c>
      <c r="J12" s="22" t="s">
        <v>235</v>
      </c>
      <c r="U12" s="2" t="s">
        <v>236</v>
      </c>
      <c r="X12" s="2" t="s">
        <v>237</v>
      </c>
      <c r="Y12" s="2" t="s">
        <v>238</v>
      </c>
    </row>
    <row r="13" spans="1:26" x14ac:dyDescent="0.3">
      <c r="U13" s="2" t="s">
        <v>239</v>
      </c>
      <c r="X13" s="2" t="s">
        <v>240</v>
      </c>
    </row>
    <row r="14" spans="1:26" x14ac:dyDescent="0.3">
      <c r="U14" s="2" t="s">
        <v>276</v>
      </c>
    </row>
    <row r="15" spans="1:26" x14ac:dyDescent="0.3">
      <c r="U15" s="2" t="s">
        <v>275</v>
      </c>
    </row>
    <row r="16" spans="1:26" x14ac:dyDescent="0.3">
      <c r="U16" s="2" t="s">
        <v>207</v>
      </c>
    </row>
    <row r="17" spans="4:21" x14ac:dyDescent="0.3">
      <c r="U17" s="2" t="s">
        <v>10</v>
      </c>
    </row>
    <row r="27" spans="4:21" ht="16.2" thickBot="1" x14ac:dyDescent="0.35">
      <c r="D27" s="10"/>
      <c r="E27" s="10"/>
      <c r="F27" s="10"/>
      <c r="G27" s="10"/>
      <c r="H27" s="10"/>
      <c r="I27" s="10"/>
      <c r="J27" s="10"/>
      <c r="K27" s="10"/>
      <c r="L27" s="10" t="s">
        <v>241</v>
      </c>
      <c r="M27" s="10" t="s">
        <v>242</v>
      </c>
      <c r="N27" s="10"/>
      <c r="O27" s="10"/>
      <c r="P27" s="10"/>
      <c r="Q27" s="10"/>
      <c r="R27" s="10"/>
      <c r="S27" s="11" t="s">
        <v>243</v>
      </c>
    </row>
    <row r="28" spans="4:21" x14ac:dyDescent="0.3">
      <c r="D28" s="7"/>
      <c r="E28" s="7"/>
      <c r="F28" s="7"/>
      <c r="G28" s="7"/>
      <c r="H28" s="7"/>
      <c r="I28" s="7"/>
      <c r="J28" s="7"/>
      <c r="K28" s="7"/>
      <c r="L28" s="17">
        <v>45161</v>
      </c>
      <c r="M28" s="7" t="s">
        <v>244</v>
      </c>
      <c r="N28" s="7"/>
      <c r="O28" s="7"/>
      <c r="P28" s="7"/>
      <c r="Q28" s="7"/>
      <c r="R28" s="7"/>
      <c r="S28" s="12" t="s">
        <v>245</v>
      </c>
    </row>
    <row r="29" spans="4:21" x14ac:dyDescent="0.3">
      <c r="D29" s="7"/>
      <c r="E29" s="7"/>
      <c r="F29" s="7"/>
      <c r="G29" s="7"/>
      <c r="H29" s="7"/>
      <c r="I29" s="7"/>
      <c r="J29" s="7"/>
      <c r="K29" s="7"/>
      <c r="L29" s="17">
        <v>45300</v>
      </c>
      <c r="M29" s="7" t="s">
        <v>244</v>
      </c>
      <c r="N29" s="7"/>
      <c r="O29" s="7"/>
      <c r="P29" s="7"/>
      <c r="Q29" s="7"/>
      <c r="R29" s="7"/>
      <c r="S29" s="12" t="s">
        <v>246</v>
      </c>
    </row>
    <row r="30" spans="4:21" x14ac:dyDescent="0.3">
      <c r="D30" s="9"/>
      <c r="E30" s="9"/>
      <c r="F30" s="9"/>
      <c r="G30" s="9"/>
      <c r="H30" s="9"/>
      <c r="I30" s="9"/>
      <c r="J30" s="9"/>
      <c r="K30" s="9"/>
      <c r="L30" s="18"/>
      <c r="M30" s="9"/>
      <c r="N30" s="9"/>
      <c r="O30" s="9"/>
      <c r="P30" s="9"/>
      <c r="Q30" s="9"/>
      <c r="R30" s="9"/>
      <c r="S30" s="13"/>
    </row>
    <row r="31" spans="4:21" x14ac:dyDescent="0.3">
      <c r="D31" s="8"/>
      <c r="E31" s="8"/>
      <c r="F31" s="8"/>
      <c r="G31" s="8"/>
      <c r="H31" s="8"/>
      <c r="I31" s="8"/>
      <c r="J31" s="8"/>
      <c r="K31" s="8"/>
      <c r="L31" s="19"/>
      <c r="M31" s="8"/>
      <c r="N31" s="8"/>
      <c r="O31" s="8"/>
      <c r="P31" s="8"/>
      <c r="Q31" s="8"/>
      <c r="R31" s="8"/>
      <c r="S31" s="14"/>
    </row>
    <row r="32" spans="4:21" x14ac:dyDescent="0.3">
      <c r="D32" s="9"/>
      <c r="E32" s="9"/>
      <c r="F32" s="9"/>
      <c r="G32" s="9"/>
      <c r="H32" s="9"/>
      <c r="I32" s="9"/>
      <c r="J32" s="9"/>
      <c r="K32" s="9"/>
      <c r="L32" s="18"/>
      <c r="M32" s="9"/>
      <c r="N32" s="9"/>
      <c r="O32" s="9"/>
      <c r="P32" s="9"/>
      <c r="Q32" s="9"/>
      <c r="R32" s="9"/>
      <c r="S32" s="13"/>
    </row>
    <row r="33" spans="4:19" x14ac:dyDescent="0.3">
      <c r="D33" s="8"/>
      <c r="E33" s="8"/>
      <c r="F33" s="8"/>
      <c r="G33" s="8"/>
      <c r="H33" s="8"/>
      <c r="I33" s="8"/>
      <c r="J33" s="8"/>
      <c r="K33" s="8"/>
      <c r="L33" s="19"/>
      <c r="M33" s="8"/>
      <c r="N33" s="8"/>
      <c r="O33" s="8"/>
      <c r="P33" s="8"/>
      <c r="Q33" s="8"/>
      <c r="R33" s="8"/>
      <c r="S33" s="14"/>
    </row>
    <row r="34" spans="4:19" x14ac:dyDescent="0.3">
      <c r="D34" s="9"/>
      <c r="E34" s="9"/>
      <c r="F34" s="9"/>
      <c r="G34" s="9"/>
      <c r="H34" s="9"/>
      <c r="I34" s="9"/>
      <c r="J34" s="9"/>
      <c r="K34" s="9"/>
      <c r="L34" s="18"/>
      <c r="M34" s="9"/>
      <c r="N34" s="9"/>
      <c r="O34" s="9"/>
      <c r="P34" s="9"/>
      <c r="Q34" s="9"/>
      <c r="R34" s="9"/>
      <c r="S34" s="13"/>
    </row>
    <row r="35" spans="4:19" x14ac:dyDescent="0.3">
      <c r="D35" s="8"/>
      <c r="E35" s="8"/>
      <c r="F35" s="8"/>
      <c r="G35" s="8"/>
      <c r="H35" s="8"/>
      <c r="I35" s="8"/>
      <c r="J35" s="8"/>
      <c r="K35" s="8"/>
      <c r="L35" s="19"/>
      <c r="M35" s="8"/>
      <c r="N35" s="8"/>
      <c r="O35" s="8"/>
      <c r="P35" s="8"/>
      <c r="Q35" s="8"/>
      <c r="R35" s="8"/>
      <c r="S35" s="14"/>
    </row>
    <row r="36" spans="4:19" x14ac:dyDescent="0.3">
      <c r="D36" s="15"/>
      <c r="E36" s="15"/>
      <c r="F36" s="15"/>
      <c r="G36" s="15"/>
      <c r="H36" s="15"/>
      <c r="I36" s="15"/>
      <c r="J36" s="15"/>
      <c r="K36" s="15"/>
      <c r="L36" s="20"/>
      <c r="M36" s="15"/>
      <c r="N36" s="15"/>
      <c r="O36" s="15"/>
      <c r="P36" s="15"/>
      <c r="Q36" s="15"/>
      <c r="R36" s="15"/>
      <c r="S36" s="16"/>
    </row>
  </sheetData>
  <sheetProtection algorithmName="SHA-512" hashValue="JpWBh5G3gmd9OpUpDobcvhKUf7oBBxAMpPhXk4jtVFf0LY1UBxbaLpxeC0hQfYFKMMK14xi1PCf9GuSRwgWD6w==" saltValue="lwna3SdMljPVDGROmxpUmg==" spinCount="100000" sheet="1" objects="1" scenarios="1"/>
  <sortState xmlns:xlrd2="http://schemas.microsoft.com/office/spreadsheetml/2017/richdata2" ref="X4:X13">
    <sortCondition ref="X4:X13"/>
  </sortState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90f8d83-fd29-439e-ae91-cfcefa340f30">
      <UserInfo>
        <DisplayName>Smith, Aaron</DisplayName>
        <AccountId>1127</AccountId>
        <AccountType/>
      </UserInfo>
    </SharedWithUsers>
    <Keyword xmlns="7bc1719e-3073-4a83-a8aa-5d9b5543732c" xsi:nil="true"/>
    <_ip_UnifiedCompliancePolicyUIAction xmlns="http://schemas.microsoft.com/sharepoint/v3" xsi:nil="true"/>
    <lcf76f155ced4ddcb4097134ff3c332f xmlns="7bc1719e-3073-4a83-a8aa-5d9b5543732c">
      <Terms xmlns="http://schemas.microsoft.com/office/infopath/2007/PartnerControls"/>
    </lcf76f155ced4ddcb4097134ff3c332f>
    <TaxCatchAll xmlns="bfe6e0b6-a5a6-435d-956e-8490d4b03c3e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05ba2877cbc3ca9c27a5f2169dd2f361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594f020d093c3cc314390237aec36bac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Keyword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eyword" ma:index="21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3E1DD-8234-476E-AEEE-F356B7F677F6}">
  <ds:schemaRefs>
    <ds:schemaRef ds:uri="http://purl.org/dc/elements/1.1/"/>
    <ds:schemaRef ds:uri="http://purl.org/dc/terms/"/>
    <ds:schemaRef ds:uri="a7119a4e-e68f-40ab-b042-1f58d8d72198"/>
    <ds:schemaRef ds:uri="http://schemas.microsoft.com/office/2006/documentManagement/types"/>
    <ds:schemaRef ds:uri="64890ed3-1443-4801-af28-560269e5aecc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FAA31A-516E-4791-9463-26FD3FC27C0E}"/>
</file>

<file path=customXml/itemProps4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Arch Alignment to Standandards</vt:lpstr>
      <vt:lpstr>Pre-Post ARB Checklist</vt:lpstr>
      <vt:lpstr>Score Card-Patterns Futue State</vt:lpstr>
      <vt:lpstr>References</vt:lpstr>
      <vt:lpstr>Answers</vt:lpstr>
      <vt:lpstr>Criteria</vt:lpstr>
      <vt:lpstr>Gateways</vt:lpstr>
      <vt:lpstr>'Arch Alignment to Standandards'!Score</vt:lpstr>
      <vt:lpstr>'Score Card-Patterns Futue State'!Score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Lieuw  A Joeng, Henny</cp:lastModifiedBy>
  <cp:revision/>
  <dcterms:created xsi:type="dcterms:W3CDTF">2023-08-10T08:14:23Z</dcterms:created>
  <dcterms:modified xsi:type="dcterms:W3CDTF">2024-10-03T14:39:45Z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Business App">
    <vt:lpwstr>Unknown</vt:lpwstr>
  </property>
</Properties>
</file>