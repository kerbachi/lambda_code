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lambda_code\ACBSD-4802 - BigPanda_OnPremWorker_L1Automation\"/>
    </mc:Choice>
  </mc:AlternateContent>
  <xr:revisionPtr revIDLastSave="0" documentId="8_{DF472202-1B39-4CED-9DE9-D6BC0B23783A}" xr6:coauthVersionLast="47" xr6:coauthVersionMax="47" xr10:uidLastSave="{00000000-0000-0000-0000-000000000000}"/>
  <bookViews>
    <workbookView xWindow="4890" yWindow="1920" windowWidth="21600" windowHeight="13845" tabRatio="645" firstSheet="4" activeTab="4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5" i="8" l="1"/>
  <c r="AN14" i="8"/>
  <c r="AN13" i="8"/>
  <c r="AM15" i="8"/>
  <c r="AM14" i="8"/>
  <c r="AM13" i="8"/>
  <c r="AM12" i="8"/>
  <c r="H4" i="15"/>
  <c r="K4" i="15" s="1"/>
  <c r="H3" i="15"/>
  <c r="K3" i="15" s="1"/>
  <c r="H6" i="15"/>
  <c r="K6" i="15" s="1"/>
  <c r="G3" i="18"/>
  <c r="G10" i="18"/>
  <c r="G4" i="17"/>
  <c r="G7" i="17"/>
  <c r="G9" i="17"/>
  <c r="I9" i="17" s="1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D4" i="22" l="1"/>
  <c r="C6" i="22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C9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<sst xmlns="http://schemas.openxmlformats.org/spreadsheetml/2006/main" count="852" uniqueCount="429">
  <si>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</si>
  <si>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</si>
  <si>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</si>
  <si>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</si>
  <si>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</si>
  <si>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</si>
  <si>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</si>
  <si>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</si>
  <si>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</si>
  <si>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</si>
  <si>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</si>
  <si>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</si>
  <si>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</si>
  <si>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</si>
  <si>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</si>
  <si>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</si>
  <si>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</si>
  <si>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</si>
  <si>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</si>
  <si>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</si>
  <si>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</si>
  <si>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</si>
  <si>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</si>
  <si>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</si>
  <si>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</si>
  <si>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</si>
  <si>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</si>
  <si>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</si>
  <si>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</si>
  <si>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</si>
  <si>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</si>
  <si>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</si>
  <si>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</si>
  <si>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</si>
  <si>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</si>
  <si>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</si>
  <si>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</si>
  <si>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</si>
  <si>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</si>
  <si>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</si>
  <si>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</si>
  <si>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</si>
  <si>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</si>
  <si>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</si>
  <si>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</si>
  <si>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</si>
  <si>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</si>
  <si>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</si>
  <si>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</si>
  <si>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</si>
  <si>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</si>
  <si>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</si>
  <si>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</si>
  <si>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</si>
  <si>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</si>
  <si>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</si>
  <si>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</si>
  <si>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</si>
  <si>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</si>
  <si>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</si>
  <si>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</si>
  <si>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</si>
  <si>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</si>
  <si>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</si>
  <si>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</si>
  <si>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</si>
  <si>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</si>
  <si>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</si>
  <si>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</si>
  <si>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</si>
  <si>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</si>
  <si>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</si>
  <si>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</si>
  <si>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</si>
  <si>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</si>
  <si>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</si>
  <si>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</si>
  <si>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</si>
  <si>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</si>
  <si>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</si>
  <si>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</si>
  <si>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</si>
  <si>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</si>
  <si>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</si>
  <si>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</si>
  <si>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</si>
  <si>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</si>
  <si>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</si>
  <si>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</si>
  <si>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</si>
  <si>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</si>
  <si>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</si>
  <si>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</si>
  <si>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</si>
  <si>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</si>
  <si>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</si>
  <si>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</si>
  <si>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</si>
  <si>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</si>
  <si>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</si>
  <si>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</si>
  <si>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</si>
  <si>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</si>
  <si>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</si>
  <si>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</si>
  <si>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</si>
  <si>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</si>
  <si>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</si>
  <si>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</si>
  <si>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</si>
  <si>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</si>
  <si>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</si>
  <si>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</si>
  <si>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</si>
  <si>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</si>
  <si>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</si>
  <si>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</si>
  <si>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</si>
  <si>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</si>
  <si>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</si>
  <si>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</si>
  <si>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</si>
  <si>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</si>
  <si>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</si>
  <si>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</si>
  <si>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</si>
  <si>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</si>
  <si>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</si>
  <si>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</si>
  <si>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</si>
  <si>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</si>
  <si>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</si>
  <si>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</si>
  <si>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</si>
  <si>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</si>
  <si>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</si>
  <si>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</si>
  <si>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</si>
  <si>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</si>
  <si>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</si>
  <si>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</si>
  <si>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</si>
  <si>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</si>
  <si>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</si>
  <si>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</si>
  <si>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</si>
  <si>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</si>
  <si>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</si>
  <si>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</si>
  <si>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</si>
  <si>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</si>
  <si>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</si>
  <si>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</si>
  <si>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</si>
  <si>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</si>
  <si>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</si>
  <si>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</si>
  <si>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</si>
  <si>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</si>
  <si>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</si>
  <si>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</si>
  <si>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</si>
  <si>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</si>
  <si>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</si>
  <si>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</si>
  <si>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</si>
  <si>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</si>
  <si>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</si>
  <si>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</si>
  <si>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</si>
  <si>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</si>
  <si>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</si>
  <si>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</si>
  <si>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</si>
  <si>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</si>
  <si>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</si>
  <si>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</si>
  <si>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</si>
  <si>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</si>
  <si>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</si>
  <si>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</si>
  <si>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</si>
  <si>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</si>
  <si>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</si>
  <si>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</si>
  <si>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</si>
  <si>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</si>
  <si>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</si>
  <si>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</si>
  <si>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</si>
  <si>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</si>
  <si>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</si>
  <si>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</si>
  <si>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</si>
  <si>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</si>
  <si>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</si>
  <si>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</si>
  <si>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</si>
  <si>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</si>
  <si>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</si>
  <si>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</si>
  <si>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</si>
  <si>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</si>
  <si>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</si>
  <si>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</si>
  <si>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</si>
  <si>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</si>
  <si>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</si>
  <si>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</si>
  <si>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</si>
  <si>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</si>
  <si>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</si>
  <si>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</si>
  <si>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</si>
  <si>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</si>
  <si>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</si>
  <si>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</si>
  <si>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</si>
  <si>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</si>
  <si>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</si>
  <si>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</si>
  <si>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</si>
  <si>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</si>
  <si>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</si>
  <si>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</si>
  <si>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</si>
  <si>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</si>
  <si>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</si>
  <si>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</si>
  <si>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</si>
  <si>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</si>
  <si>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</si>
  <si>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</si>
  <si>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</si>
  <si>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</si>
  <si>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</si>
  <si>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</si>
  <si>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</si>
  <si>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</si>
  <si>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</si>
  <si>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</si>
  <si>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</si>
  <si>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</si>
  <si>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</si>
  <si>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</si>
  <si>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</si>
  <si>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</si>
  <si>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</si>
  <si>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</si>
  <si>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</si>
  <si>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</si>
  <si>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</si>
  <si>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</si>
  <si>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</si>
  <si>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</si>
  <si>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</si>
  <si>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</si>
  <si>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</si>
  <si>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</si>
  <si>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</si>
  <si>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</si>
  <si>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</si>
  <si>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</si>
  <si>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</si>
  <si>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</si>
  <si>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</si>
  <si>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</si>
  <si>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</si>
  <si>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</si>
  <si>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</si>
  <si>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</si>
  <si>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</si>
  <si>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</si>
  <si>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</si>
  <si>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</si>
  <si>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</si>
  <si>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</si>
  <si>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</si>
  <si>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</si>
  <si>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</si>
  <si>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</si>
  <si>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</si>
  <si>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</si>
  <si>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</si>
  <si>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</si>
  <si>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</si>
  <si>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</si>
  <si>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</si>
  <si>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</si>
  <si>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</si>
  <si>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</si>
  <si>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</si>
  <si>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</si>
  <si>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</si>
  <si>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</si>
  <si>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</si>
  <si>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</si>
  <si>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</si>
  <si>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</si>
  <si>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</si>
  <si>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</si>
  <si>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</si>
  <si>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</si>
  <si>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</si>
  <si>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</si>
  <si>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</si>
  <si>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</si>
  <si>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</si>
  <si>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</si>
  <si>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</si>
  <si>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</si>
  <si>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</si>
  <si>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</si>
  <si>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</si>
  <si>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</si>
  <si>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</si>
  <si>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</si>
  <si>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</si>
  <si>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</si>
  <si>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</si>
  <si>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</si>
  <si>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</si>
  <si>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</si>
  <si>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</si>
  <si>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</si>
  <si>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</si>
  <si>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</si>
  <si>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</si>
  <si>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</si>
  <si>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</si>
  <si>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</si>
  <si>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</si>
  <si>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</si>
  <si>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</si>
  <si>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</si>
  <si>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</si>
  <si>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</si>
  <si>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</si>
  <si>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</si>
  <si>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</si>
  <si>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</si>
  <si>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</si>
  <si>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</si>
  <si>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</si>
  <si>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</si>
  <si>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</si>
  <si>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</si>
  <si>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</si>
  <si>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</si>
  <si>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</si>
  <si>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</si>
  <si>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</si>
  <si>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</si>
  <si>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</si>
  <si>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</si>
  <si>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</si>
  <si>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</si>
  <si>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</si>
  <si>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</si>
  <si>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</si>
  <si>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</si>
  <si>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</si>
  <si>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</si>
  <si>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</si>
  <si>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</si>
  <si>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</si>
  <si>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</si>
  <si>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</si>
  <si>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</si>
  <si>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</si>
  <si>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</si>
  <si>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</si>
  <si>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</si>
  <si>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</si>
  <si>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</si>
  <si>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</si>
  <si>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</si>
  <si>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</si>
  <si>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</si>
  <si>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</si>
  <si>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</si>
  <si>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</si>
  <si>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</si>
  <si>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</si>
  <si>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</si>
  <si>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</si>
  <si>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</si>
  <si>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</si>
  <si>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</si>
  <si>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</si>
  <si>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</si>
  <si>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</si>
  <si>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</si>
  <si>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</si>
  <si>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</si>
  <si>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</si>
  <si>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</si>
  <si>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</si>
  <si>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</si>
  <si>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</si>
  <si>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</si>
  <si>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</si>
  <si>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</si>
  <si>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</si>
  <si>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</si>
  <si>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</si>
  <si>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</si>
  <si>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</si>
  <si>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</si>
  <si>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</si>
  <si>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</si>
  <si>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</si>
  <si>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</si>
  <si>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</si>
  <si>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</si>
  <si>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</si>
  <si>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</si>
  <si>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</si>
  <si>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</si>
  <si>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</si>
  <si>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</si>
  <si>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</si>
  <si>
    <t>CS - All Classifications</t>
  </si>
  <si>
    <t>CS - Max Confidential</t>
  </si>
  <si>
    <t>CS - Max Internal</t>
  </si>
  <si>
    <t>CS - Max Public</t>
  </si>
  <si>
    <t>CS - All but PCI</t>
  </si>
  <si>
    <t>CS - PII Only</t>
  </si>
  <si>
    <t>CS -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</si>
</sst>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indent="5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9" fillId="0" borderId="0" xfId="1" applyFont="1" applyAlignment="1">
      <alignment horizontal="left" vertical="center" indent="5"/>
    </xf>
    <xf numFmtId="0" fontId="9" fillId="0" borderId="0" xfId="1" applyFont="1" applyAlignment="1">
      <alignment horizontal="left" indent="5"/>
    </xf>
    <xf numFmtId="0" fontId="14" fillId="0" borderId="0" xfId="0" applyFont="1" applyAlignment="1">
      <alignment horizontal="left" vertical="center" indent="10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Users/bowilloughby/Aegon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../Users/bowilloughby/GTS-ARB/Lists/ARBCalendar/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../../Users/bowilloughby/Aegon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../Users/bowilloughby/GTS-ARB/Lists/ARBCalendar/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../../Users/bowilloughby/Aegon/SitePages/Architecture-Exceptions.aspx" TargetMode="External"/><Relationship Id="rId6" Type="http://schemas.openxmlformats.org/officeDocument/2006/relationships/hyperlink" Target="../../../Users/bowilloughby/Aegon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../../../Users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../../Users/bowilloughby/Aegon/SitePages/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../../../Users/bowilloughby/Aegon/GTS%20Global%20Engineering%20&amp;%20Architecture%20(GEA)%20-%20GTS%20ARB%20Templates/Forms/AllItems.aspx" TargetMode="External"/><Relationship Id="rId9" Type="http://schemas.openxmlformats.org/officeDocument/2006/relationships/hyperlink" Target="../../../Users/bowilloughby/Aegon/SitePages/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../..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../..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../..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..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.75">
      <c r="B1" s="168" t="s">
        <v>70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</row>
    <row r="2" spans="2:22" ht="18.75"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2:22" ht="18.75">
      <c r="B3" s="170" t="s">
        <v>71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</row>
    <row r="4" spans="2:22" ht="18.75">
      <c r="B4" s="171" t="s">
        <v>72</v>
      </c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</row>
    <row r="5" spans="2:22" ht="18.75">
      <c r="B5" s="171" t="s">
        <v>73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</row>
    <row r="6" spans="2:22" ht="18.75">
      <c r="B6" s="172" t="s">
        <v>74</v>
      </c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</row>
    <row r="7" spans="2:22" ht="18.75">
      <c r="B7" s="172" t="s">
        <v>75</v>
      </c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</row>
    <row r="8" spans="2:22" ht="18.75">
      <c r="B8" s="171" t="s">
        <v>76</v>
      </c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</row>
    <row r="9" spans="2:22" ht="18.75">
      <c r="B9" s="172" t="s">
        <v>77</v>
      </c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</row>
    <row r="10" spans="2:22" ht="18.75">
      <c r="B10" s="171" t="s">
        <v>78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</row>
    <row r="11" spans="2:22" ht="18.75">
      <c r="B11" s="172" t="s">
        <v>79</v>
      </c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</row>
    <row r="12" spans="2:22" ht="18.75">
      <c r="B12" s="167" t="s">
        <v>80</v>
      </c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</row>
    <row r="13" spans="2:22" ht="18.75">
      <c r="B13" s="167" t="s">
        <v>81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</row>
    <row r="14" spans="2:22" ht="18.75">
      <c r="B14" s="175" t="s">
        <v>82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</row>
    <row r="15" spans="2:22" ht="18.75">
      <c r="B15" s="172" t="s">
        <v>83</v>
      </c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</row>
    <row r="16" spans="2:22" ht="18.75">
      <c r="B16" s="172" t="s">
        <v>84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</row>
    <row r="17" spans="2:22" ht="18.75">
      <c r="B17" s="172" t="s">
        <v>85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</row>
    <row r="18" spans="2:22"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</row>
    <row r="19" spans="2:22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</row>
    <row r="20" spans="2:22" ht="18.75">
      <c r="B20" s="178" t="s">
        <v>86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</row>
    <row r="21" spans="2:22" ht="18.75">
      <c r="B21" s="179" t="s">
        <v>87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</row>
    <row r="22" spans="2:22" ht="18.75">
      <c r="B22" s="179" t="s">
        <v>88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</row>
    <row r="23" spans="2:22" ht="18.75">
      <c r="B23" s="174" t="s">
        <v>89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</row>
    <row r="24" spans="2:22" ht="18.75">
      <c r="B24" s="174" t="s">
        <v>90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</row>
    <row r="25" spans="2:22" ht="18.75">
      <c r="B25" s="174" t="s">
        <v>91</v>
      </c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</row>
    <row r="26" spans="2:22" ht="18.75">
      <c r="B26" s="174" t="s">
        <v>92</v>
      </c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</row>
    <row r="27" spans="2:22" ht="18.75">
      <c r="B27" s="174" t="s">
        <v>93</v>
      </c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</row>
    <row r="28" spans="2:22" ht="18.75">
      <c r="B28" s="179" t="s">
        <v>108</v>
      </c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</row>
    <row r="29" spans="2:22" ht="18.75">
      <c r="B29" s="179" t="s">
        <v>94</v>
      </c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</row>
    <row r="30" spans="2:22"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25:V25"/>
    <mergeCell ref="B26:V26"/>
    <mergeCell ref="B27:V27"/>
    <mergeCell ref="B28:V28"/>
    <mergeCell ref="B30:V30"/>
    <mergeCell ref="B29:V29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headerFooter>
    <oddFooter>&amp;C_x000D_&amp;1#&amp;"Aptos"&amp;10&amp;K000000 Internal</oddFooter>
  </headerFooter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41.75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5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8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headerFooter>
    <oddFooter>&amp;C_x000D_&amp;1#&amp;"Aptos"&amp;10&amp;K000000 Internal</oddFooter>
  </headerFooter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headerFooter>
    <oddFooter>&amp;C_x000D_&amp;1#&amp;"Aptos"&amp;10&amp;K000000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tabSelected="1"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0.9375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1</v>
      </c>
      <c r="H3" s="148" t="str">
        <f>IF(G3&lt;90%,"FAIL","PASS")</f>
        <v>PASS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1</v>
      </c>
      <c r="D4" s="148" t="str">
        <f t="shared" ref="D4" si="0">IF(C4&lt;90%,"FAIL","PASS")</f>
        <v>PASS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0.98958333333333337</v>
      </c>
      <c r="D9" s="131" t="str">
        <f>IF(COUNTIF(D2:D5,"FAIL")+ COUNTIF(H2:H5,"FAIL")&gt;1,"FAIL",IF(C9&lt;90%,"FAIL","PASS"))</f>
        <v>PASS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  <headerFooter>
    <oddFooter>&amp;C_x000D_&amp;1#&amp;"Aptos"&amp;10&amp;K000000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C18" sqref="C18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5" thickBot="1">
      <c r="A1" s="1" t="s">
        <v>141</v>
      </c>
      <c r="C1" s="141"/>
      <c r="D1" s="28">
        <f>SUM(D3:D18)/COUNT(D3:D18)</f>
        <v>0.9375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65" t="s">
        <v>239</v>
      </c>
      <c r="H2" s="166"/>
      <c r="I2" s="166"/>
      <c r="J2" s="166"/>
      <c r="K2" s="166"/>
      <c r="L2" s="166"/>
      <c r="M2" s="166"/>
      <c r="N2" s="166"/>
      <c r="O2" s="166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40</v>
      </c>
      <c r="D5" s="99">
        <f>VLOOKUP(C5,References!D:E,2,FALSE)</f>
        <v>1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308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8</v>
      </c>
      <c r="D8" s="99">
        <f>VLOOKUP(C8,References!AM:AN,2,FALSE)</f>
        <v>0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8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8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40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40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40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5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65" t="s">
        <v>239</v>
      </c>
      <c r="H2" s="166"/>
      <c r="I2" s="166"/>
    </row>
    <row r="3" spans="1:11" s="90" customFormat="1" ht="63">
      <c r="A3" s="90" t="s">
        <v>349</v>
      </c>
      <c r="B3" s="101" t="s">
        <v>341</v>
      </c>
      <c r="C3" s="103" t="s">
        <v>40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40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40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40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40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40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topLeftCell="A2" zoomScale="99" workbookViewId="0">
      <selection activeCell="D7" sqref="D7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65" t="s">
        <v>157</v>
      </c>
      <c r="I2" s="166"/>
      <c r="J2" s="166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177</v>
      </c>
      <c r="E3" s="99">
        <f>VLOOKUP(D3,References!AA:AB,2,FALSE)</f>
        <v>1</v>
      </c>
      <c r="F3" s="107"/>
      <c r="G3" s="123"/>
      <c r="H3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184</v>
      </c>
      <c r="E4" s="99">
        <f>VLOOKUP(D4,References!AC:AD,2,FALSE)</f>
        <v>1</v>
      </c>
      <c r="F4" s="107"/>
      <c r="G4" s="123"/>
      <c r="H4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40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40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40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>
      <selection activeCell="D11" sqref="D11"/>
    </sheetView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A2" workbookViewId="0">
      <selection activeCell="C11" sqref="C11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1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65" t="s">
        <v>157</v>
      </c>
      <c r="H2" s="166"/>
    </row>
    <row r="3" spans="1:10" s="90" customFormat="1" ht="39" customHeight="1">
      <c r="A3" s="119" t="s">
        <v>36</v>
      </c>
      <c r="B3" s="97" t="s">
        <v>226</v>
      </c>
      <c r="C3" s="109" t="s">
        <v>40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40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40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8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8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8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328</v>
      </c>
      <c r="D11" s="99">
        <f>VLOOKUP(C11,References!AY:AZ,2,FALSE)</f>
        <v>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8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headerFooter>
    <oddFooter>&amp;C_x000D_&amp;1#&amp;"Aptos"&amp;10&amp;K000000 Internal</oddFooter>
  </headerFooter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workbookViewId="0">
      <selection activeCell="D9" sqref="D9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65" t="s">
        <v>157</v>
      </c>
      <c r="I2" s="166"/>
      <c r="J2" s="166"/>
      <c r="K2" s="166"/>
      <c r="L2" s="166"/>
      <c r="M2" s="166"/>
    </row>
    <row r="3" spans="1:13" ht="60" customHeight="1">
      <c r="A3" s="100" t="s">
        <v>195</v>
      </c>
      <c r="C3" s="117" t="s">
        <v>347</v>
      </c>
      <c r="D3" s="128" t="s">
        <v>40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headerFooter>
    <oddFooter>&amp;C_x000D_&amp;1#&amp;"Aptos"&amp;10&amp;K000000 Internal</oddFooter>
  </headerFooter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topLeftCell="AJ1" workbookViewId="0">
      <selection activeCell="AM15" sqref="AM15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AWS - US East (N. Virginia)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AWS - EU West (Ireland)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AWS - Multiple Approved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Azure - Sweden Central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Azure - North Europe (Ireland)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Azure - East US (Virginia)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A10" t="s">
        <v>422</v>
      </c>
      <c r="AB10">
        <v>1</v>
      </c>
      <c r="AC10" t="s">
        <v>422</v>
      </c>
      <c r="AD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Azure - Multiple Approved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A11" t="s">
        <v>423</v>
      </c>
      <c r="AB11">
        <v>1</v>
      </c>
      <c r="AC11" t="s">
        <v>426</v>
      </c>
      <c r="AD11">
        <v>1</v>
      </c>
      <c r="AI11" s="5" t="s">
        <v>260</v>
      </c>
      <c r="AJ11">
        <v>-0.5</v>
      </c>
      <c r="AM11" t="str">
        <f t="shared" si="1"/>
        <v>Multiple Approved Clouds</v>
      </c>
      <c r="AN11">
        <f t="shared" si="2"/>
        <v>1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A12" t="s">
        <v>424</v>
      </c>
      <c r="AB12">
        <v>1</v>
      </c>
      <c r="AC12" t="s">
        <v>427</v>
      </c>
      <c r="AD12">
        <v>1</v>
      </c>
      <c r="AI12" s="5" t="s">
        <v>259</v>
      </c>
      <c r="AJ12">
        <v>-0.5</v>
      </c>
      <c r="AM12" t="str">
        <f t="shared" si="1"/>
        <v>SaaS</v>
      </c>
      <c r="AN12">
        <f t="shared" ref="AN12:AN15" si="3">IF(ArchDomain="Compute",AP12,IF(ArchDomain="Call Center",AR12,IF(ArchDomain="GenAI",AT13,IF(ArchDomain="Network",AP12,IF(ArchDomain="Desktop",AV12,AX12)))))</f>
        <v>0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A13" t="s">
        <v>425</v>
      </c>
      <c r="AB13">
        <v>1</v>
      </c>
      <c r="AC13" t="s">
        <v>428</v>
      </c>
      <c r="AD13">
        <v>1</v>
      </c>
      <c r="AI13" s="5" t="s">
        <v>265</v>
      </c>
      <c r="AJ13">
        <v>-0.5</v>
      </c>
      <c r="AM13" t="str">
        <f t="shared" si="1"/>
        <v>Unknown</v>
      </c>
      <c r="AN13">
        <f t="shared" si="3"/>
        <v>-1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1"/>
        <v>Other - Explain in Comments Section (Requires Architecture Approval, Risk Acceptance or Risk Remediation)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 t="shared" si="1"/>
        <v>N/A</v>
      </c>
      <c r="AN15">
        <f t="shared" si="3"/>
        <v>0</v>
      </c>
      <c r="AO15" s="5" t="s">
        <v>296</v>
      </c>
      <c r="AP15" s="5">
        <v>1</v>
      </c>
      <c r="AQ15" s="5"/>
      <c r="AR15" s="5"/>
      <c r="AS15" s="5" t="s">
        <v>8</v>
      </c>
      <c r="AT15" s="5">
        <v>1</v>
      </c>
      <c r="AU15" s="5"/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 xml:space="preserve"> </v>
      </c>
      <c r="AN16">
        <f t="shared" si="2"/>
        <v>0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 xml:space="preserve"> </v>
      </c>
      <c r="AN17">
        <f t="shared" si="2"/>
        <v>0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 xml:space="preserve"> </v>
      </c>
      <c r="AN18">
        <f t="shared" si="2"/>
        <v>0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 xml:space="preserve"> </v>
      </c>
      <c r="AN19">
        <f t="shared" si="2"/>
        <v>0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 xml:space="preserve"> </v>
      </c>
      <c r="AN20">
        <f t="shared" si="2"/>
        <v>0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 xml:space="preserve"> </v>
      </c>
      <c r="AN21">
        <f t="shared" si="2"/>
        <v>0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 xml:space="preserve"> </v>
      </c>
      <c r="AN22">
        <f t="shared" si="2"/>
        <v>0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 xml:space="preserve"> </v>
      </c>
      <c r="AN23">
        <f t="shared" si="2"/>
        <v>0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 xml:space="preserve"> </v>
      </c>
      <c r="AN24">
        <f t="shared" si="2"/>
        <v>0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 xml:space="preserve"> </v>
      </c>
      <c r="AN25">
        <f t="shared" si="2"/>
        <v>0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 xml:space="preserve"> </v>
      </c>
      <c r="AN26">
        <f t="shared" si="2"/>
        <v>0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 xml:space="preserve"> </v>
      </c>
      <c r="AN27">
        <f t="shared" si="2"/>
        <v>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 xml:space="preserve"> </v>
      </c>
      <c r="AN28">
        <f t="shared" si="2"/>
        <v>0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 xml:space="preserve">  </v>
      </c>
      <c r="AN29">
        <f t="shared" si="2"/>
        <v>0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ortState xmlns:xlrd2="http://schemas.microsoft.com/office/spreadsheetml/2017/richdata2" ref="N4:O13">
    <sortCondition ref="N4:N13"/>
  </sortState>
  <mergeCells count="23">
    <mergeCell ref="AS3:AT3"/>
    <mergeCell ref="F3:G3"/>
    <mergeCell ref="J3:K3"/>
    <mergeCell ref="B3:C3"/>
    <mergeCell ref="D3:E3"/>
    <mergeCell ref="AG3:AH3"/>
    <mergeCell ref="AE3:AF3"/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</mergeCells>
  <phoneticPr fontId="5" type="noConversion"/>
  <pageMargins left="0.7" right="0.7" top="0.75" bottom="0.75" header="0.3" footer="0.3"/>
  <headerFooter>
    <oddFooter>&amp;C_x000D_&amp;1#&amp;"Aptos"&amp;10&amp;K000000 Internal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53E1DD-8234-476E-AEEE-F356B7F677F6}">
  <ds:schemaRefs>
    <ds:schemaRef ds:uri="http://schemas.microsoft.com/office/2006/metadata/properties"/>
    <ds:schemaRef ds:uri="http://schemas.microsoft.com/office/infopath/2007/PartnerControls"/>
    <ds:schemaRef ds:uri="a7119a4e-e68f-40ab-b042-1f58d8d72198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4890ed3-1443-4801-af28-560269e5aecc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2026-08-19T17:59:14Z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f80fac54-5887-4bd1-804d-90736ea68144_Enabled">
    <vt:lpwstr>true</vt:lpwstr>
  </property>
  <property fmtid="{D5CDD505-2E9C-101B-9397-08002B2CF9AE}" pid="12" name="MSIP_Label_f80fac54-5887-4bd1-804d-90736ea68144_SetDate">
    <vt:lpwstr>2026-06-29T09:44:26Z</vt:lpwstr>
  </property>
  <property fmtid="{D5CDD505-2E9C-101B-9397-08002B2CF9AE}" pid="13" name="MSIP_Label_f80fac54-5887-4bd1-804d-90736ea68144_Method">
    <vt:lpwstr>Privileged</vt:lpwstr>
  </property>
  <property fmtid="{D5CDD505-2E9C-101B-9397-08002B2CF9AE}" pid="14" name="MSIP_Label_f80fac54-5887-4bd1-804d-90736ea68144_Name">
    <vt:lpwstr>!aegon-internal</vt:lpwstr>
  </property>
  <property fmtid="{D5CDD505-2E9C-101B-9397-08002B2CF9AE}" pid="15" name="MSIP_Label_f80fac54-5887-4bd1-804d-90736ea68144_SiteId">
    <vt:lpwstr>46e16835-c804-41de-be3c-55835d14dee4</vt:lpwstr>
  </property>
  <property fmtid="{D5CDD505-2E9C-101B-9397-08002B2CF9AE}" pid="16" name="MSIP_Label_f80fac54-5887-4bd1-804d-90736ea68144_ActionId">
    <vt:lpwstr>1c0857f3-b053-4ab2-83a0-06308be06d39</vt:lpwstr>
  </property>
  <property fmtid="{D5CDD505-2E9C-101B-9397-08002B2CF9AE}" pid="17" name="MSIP_Label_f80fac54-5887-4bd1-804d-90736ea68144_ContentBits">
    <vt:lpwstr>2</vt:lpwstr>
  </property>
  <property fmtid="{D5CDD505-2E9C-101B-9397-08002B2CF9AE}" pid="18" name="MSIP_Label_f80fac54-5887-4bd1-804d-90736ea68144_Tag">
    <vt:lpwstr>10, 0, 1, 1</vt:lpwstr>
  </property>
</Properties>
</file>