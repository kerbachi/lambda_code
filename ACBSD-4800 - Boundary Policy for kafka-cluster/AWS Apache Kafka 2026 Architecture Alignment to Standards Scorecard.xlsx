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lambda_code\ACBSD-4800 - Boundary Policy for kafka-cluster\"/>
    </mc:Choice>
  </mc:AlternateContent>
  <xr:revisionPtr revIDLastSave="0" documentId="8_{96CDA273-FCAE-4141-B0EB-7EC271A74B76}" xr6:coauthVersionLast="47" xr6:coauthVersionMax="47" xr10:uidLastSave="{00000000-0000-0000-0000-000000000000}"/>
  <bookViews>
    <workbookView xWindow="1125" yWindow="1125" windowWidth="21300" windowHeight="14280" tabRatio="645" firstSheet="7" activeTab="14" xr2:uid="{5772EEC2-3782-8A48-AB2E-7C685ED1583E}"/>
  </bookViews>
  <sheets>
    <sheet name="Change Log" sheetId="13" state="hidden" r:id="rId1"/>
    <sheet name="Pre-Post ARB Checklist" sheetId="12" state="hidden" r:id="rId2"/>
    <sheet name="Arch Alignment to Standandards" sheetId="11" state="hidden" r:id="rId3"/>
    <sheet name="Target Operating Model" sheetId="14" state="hidden" r:id="rId4"/>
    <sheet name="Assessment Score" sheetId="22" r:id="rId5"/>
    <sheet name="Architecture" sheetId="18" r:id="rId6"/>
    <sheet name="Business Enablement Svcs Tech" sheetId="27" r:id="rId7"/>
    <sheet name="Data Privacy" sheetId="15" r:id="rId8"/>
    <sheet name="Gen AI" sheetId="25" r:id="rId9"/>
    <sheet name="Security" sheetId="17" r:id="rId10"/>
    <sheet name="Risks" sheetId="24" r:id="rId11"/>
    <sheet name="Performance" sheetId="19" state="hidden" r:id="rId12"/>
    <sheet name="NFRs" sheetId="20" state="hidden" r:id="rId13"/>
    <sheet name="References" sheetId="8" r:id="rId14"/>
    <sheet name="Links and References" sheetId="23" r:id="rId15"/>
  </sheets>
  <definedNames>
    <definedName name="_xlnm._FilterDatabase" localSheetId="2" hidden="1">'Arch Alignment to Standandards'!$A$2:$G$25</definedName>
    <definedName name="Answers">References!$D$4:$D$7</definedName>
    <definedName name="ARBType" localSheetId="6">'Business Enablement Svcs Tech'!#REF!</definedName>
    <definedName name="ARBType">Architecture!$C$4</definedName>
    <definedName name="ArchDomain" localSheetId="6">'Business Enablement Svcs Tech'!#REF!</definedName>
    <definedName name="ArchDomain">Architecture!$C$7</definedName>
    <definedName name="Category" localSheetId="2">'Arch Alignment to Standandards'!#REF!</definedName>
    <definedName name="Category">#REF!</definedName>
    <definedName name="_xlnm.Criteria">References!#REF!</definedName>
    <definedName name="DPIAStatus">'Data Privacy'!#REF!</definedName>
    <definedName name="Exception_Expiry" localSheetId="2">'Arch Alignment to Standandards'!#REF!</definedName>
    <definedName name="Exception_Expiry">#REF!</definedName>
    <definedName name="Exception_Granted" localSheetId="2">'Arch Alignment to Standandards'!#REF!</definedName>
    <definedName name="Exception_Granted">#REF!</definedName>
    <definedName name="Gateways">References!#REF!</definedName>
    <definedName name="Score" localSheetId="2">'Arch Alignment to Standandards'!$E$5:$E$1048576</definedName>
    <definedName name="Score">#REF!</definedName>
    <definedName name="Version">References!#REF!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5" l="1"/>
  <c r="K4" i="15" s="1"/>
  <c r="H3" i="15"/>
  <c r="K3" i="15" s="1"/>
  <c r="H6" i="15"/>
  <c r="K6" i="15" s="1"/>
  <c r="G3" i="18"/>
  <c r="G10" i="18"/>
  <c r="G4" i="17"/>
  <c r="G7" i="17"/>
  <c r="G9" i="17"/>
  <c r="I9" i="17" s="1"/>
  <c r="H6" i="25"/>
  <c r="J4" i="24"/>
  <c r="L10" i="24" s="1"/>
  <c r="I4" i="24"/>
  <c r="H3" i="24"/>
  <c r="L3" i="24" s="1"/>
  <c r="I5" i="24"/>
  <c r="I3" i="24"/>
  <c r="L6" i="24" s="1"/>
  <c r="H5" i="24"/>
  <c r="L5" i="24" s="1"/>
  <c r="H4" i="24"/>
  <c r="L8" i="24"/>
  <c r="L7" i="24"/>
  <c r="L4" i="24"/>
  <c r="M10" i="24"/>
  <c r="M8" i="24"/>
  <c r="M7" i="24"/>
  <c r="M6" i="24"/>
  <c r="M5" i="24"/>
  <c r="M4" i="24"/>
  <c r="M3" i="24"/>
  <c r="G13" i="17"/>
  <c r="I13" i="17" s="1"/>
  <c r="G12" i="17"/>
  <c r="I12" i="17" s="1"/>
  <c r="G11" i="17"/>
  <c r="I11" i="17" s="1"/>
  <c r="G10" i="17"/>
  <c r="I10" i="17" s="1"/>
  <c r="G8" i="17"/>
  <c r="G6" i="17"/>
  <c r="G5" i="17"/>
  <c r="G3" i="17"/>
  <c r="J3" i="17"/>
  <c r="J9" i="17"/>
  <c r="J7" i="17"/>
  <c r="J13" i="17"/>
  <c r="J12" i="17"/>
  <c r="J11" i="17"/>
  <c r="J10" i="17"/>
  <c r="J8" i="17"/>
  <c r="J6" i="17"/>
  <c r="J5" i="17"/>
  <c r="J4" i="17"/>
  <c r="I8" i="17"/>
  <c r="I7" i="17"/>
  <c r="I6" i="17"/>
  <c r="I5" i="17"/>
  <c r="I4" i="17"/>
  <c r="I3" i="17"/>
  <c r="J6" i="25"/>
  <c r="H5" i="25"/>
  <c r="J5" i="25" s="1"/>
  <c r="H4" i="25"/>
  <c r="J4" i="25" s="1"/>
  <c r="H3" i="25"/>
  <c r="J3" i="25" s="1"/>
  <c r="K6" i="25"/>
  <c r="K5" i="25"/>
  <c r="K4" i="25"/>
  <c r="K3" i="25"/>
  <c r="I8" i="15"/>
  <c r="H8" i="15"/>
  <c r="K8" i="15" s="1"/>
  <c r="K7" i="15"/>
  <c r="H5" i="15"/>
  <c r="K5" i="15" s="1"/>
  <c r="L6" i="15"/>
  <c r="L4" i="15"/>
  <c r="L3" i="15"/>
  <c r="L9" i="15"/>
  <c r="L8" i="15"/>
  <c r="L7" i="15"/>
  <c r="L5" i="15"/>
  <c r="K9" i="15"/>
  <c r="K9" i="27"/>
  <c r="K8" i="27"/>
  <c r="J9" i="27"/>
  <c r="I8" i="27"/>
  <c r="I7" i="27"/>
  <c r="I6" i="27"/>
  <c r="J5" i="27"/>
  <c r="J4" i="27"/>
  <c r="J3" i="27"/>
  <c r="K7" i="27"/>
  <c r="K6" i="27"/>
  <c r="K5" i="27"/>
  <c r="K4" i="27"/>
  <c r="K3" i="27"/>
  <c r="L9" i="18"/>
  <c r="K9" i="18"/>
  <c r="L18" i="18"/>
  <c r="K18" i="18" s="1"/>
  <c r="L17" i="18"/>
  <c r="K17" i="18"/>
  <c r="I3" i="27" l="1"/>
  <c r="I9" i="27"/>
  <c r="I4" i="27"/>
  <c r="J7" i="27"/>
  <c r="J6" i="27"/>
  <c r="I5" i="27"/>
  <c r="J8" i="27"/>
  <c r="J14" i="18"/>
  <c r="J11" i="18"/>
  <c r="J9" i="18"/>
  <c r="K14" i="18"/>
  <c r="K11" i="18"/>
  <c r="G18" i="18"/>
  <c r="G17" i="18"/>
  <c r="G16" i="18"/>
  <c r="G15" i="18"/>
  <c r="G14" i="18"/>
  <c r="G13" i="18"/>
  <c r="G12" i="18"/>
  <c r="G11" i="18"/>
  <c r="G9" i="18"/>
  <c r="G6" i="18"/>
  <c r="G4" i="18"/>
  <c r="H18" i="18"/>
  <c r="H17" i="18"/>
  <c r="H16" i="18"/>
  <c r="H15" i="18"/>
  <c r="H14" i="18"/>
  <c r="H13" i="18"/>
  <c r="H12" i="18"/>
  <c r="H11" i="18"/>
  <c r="H10" i="18"/>
  <c r="H9" i="18"/>
  <c r="H6" i="18"/>
  <c r="H4" i="18"/>
  <c r="H3" i="18"/>
  <c r="D15" i="18"/>
  <c r="T12" i="8"/>
  <c r="T11" i="8"/>
  <c r="T10" i="8"/>
  <c r="T9" i="8"/>
  <c r="T8" i="8"/>
  <c r="T7" i="8"/>
  <c r="T6" i="8"/>
  <c r="T5" i="8"/>
  <c r="D13" i="18"/>
  <c r="D6" i="17"/>
  <c r="D10" i="17"/>
  <c r="D9" i="27"/>
  <c r="D8" i="27"/>
  <c r="D7" i="27"/>
  <c r="D6" i="27"/>
  <c r="D5" i="27"/>
  <c r="D4" i="27"/>
  <c r="D3" i="27"/>
  <c r="E6" i="15" l="1"/>
  <c r="E7" i="24"/>
  <c r="E6" i="24"/>
  <c r="D13" i="17"/>
  <c r="D18" i="18"/>
  <c r="D17" i="18"/>
  <c r="E7" i="15"/>
  <c r="D11" i="17"/>
  <c r="AN30" i="8" l="1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M6" i="8"/>
  <c r="AM5" i="8"/>
  <c r="AM4" i="8"/>
  <c r="D7" i="18"/>
  <c r="T4" i="8"/>
  <c r="D14" i="18" s="1"/>
  <c r="D16" i="18"/>
  <c r="E3" i="24"/>
  <c r="D4" i="17"/>
  <c r="D6" i="18"/>
  <c r="D8" i="18" l="1"/>
  <c r="D3" i="18"/>
  <c r="D4" i="18"/>
  <c r="D12" i="17" l="1"/>
  <c r="D11" i="18"/>
  <c r="E5" i="15"/>
  <c r="E5" i="24"/>
  <c r="E5" i="25"/>
  <c r="D5" i="18"/>
  <c r="D9" i="17"/>
  <c r="D8" i="17"/>
  <c r="D7" i="17"/>
  <c r="D5" i="17"/>
  <c r="B7" i="22" l="1"/>
  <c r="B8" i="22"/>
  <c r="D9" i="18"/>
  <c r="D12" i="18"/>
  <c r="T20" i="8"/>
  <c r="T19" i="8"/>
  <c r="T18" i="8"/>
  <c r="T17" i="8"/>
  <c r="T16" i="8"/>
  <c r="T15" i="8"/>
  <c r="T14" i="8"/>
  <c r="T13" i="8"/>
  <c r="D1" i="27"/>
  <c r="C3" i="22" s="1"/>
  <c r="D3" i="22" s="1"/>
  <c r="E4" i="25"/>
  <c r="F4" i="22"/>
  <c r="F2" i="22"/>
  <c r="E4" i="15"/>
  <c r="E3" i="15"/>
  <c r="E4" i="24" l="1"/>
  <c r="E1" i="24" s="1"/>
  <c r="E6" i="25"/>
  <c r="E1" i="25" s="1"/>
  <c r="E8" i="15"/>
  <c r="E1" i="15" l="1"/>
  <c r="C4" i="22" s="1"/>
  <c r="G2" i="22"/>
  <c r="H2" i="22" s="1"/>
  <c r="G4" i="22"/>
  <c r="H4" i="22" s="1"/>
  <c r="D10" i="18"/>
  <c r="D3" i="17"/>
  <c r="D1" i="17" s="1"/>
  <c r="E3" i="19"/>
  <c r="B6" i="22"/>
  <c r="F3" i="22"/>
  <c r="B4" i="22"/>
  <c r="B2" i="22"/>
  <c r="E12" i="20"/>
  <c r="E1" i="20" s="1"/>
  <c r="C8" i="22" s="1"/>
  <c r="D8" i="22" s="1"/>
  <c r="E11" i="20"/>
  <c r="E10" i="20"/>
  <c r="E9" i="20"/>
  <c r="E8" i="20"/>
  <c r="E7" i="20"/>
  <c r="E6" i="20"/>
  <c r="E5" i="20"/>
  <c r="E4" i="20"/>
  <c r="E3" i="20"/>
  <c r="E12" i="19"/>
  <c r="E11" i="19"/>
  <c r="E10" i="19"/>
  <c r="E9" i="19"/>
  <c r="E8" i="19"/>
  <c r="E7" i="19"/>
  <c r="E6" i="19"/>
  <c r="E5" i="19"/>
  <c r="E4" i="19"/>
  <c r="E13" i="19"/>
  <c r="E1" i="19" s="1"/>
  <c r="C7" i="22" s="1"/>
  <c r="D7" i="22" s="1"/>
  <c r="E26" i="11"/>
  <c r="D4" i="22" l="1"/>
  <c r="C6" i="22"/>
  <c r="D6" i="22" s="1"/>
  <c r="G3" i="22"/>
  <c r="H3" i="22" s="1"/>
  <c r="E21" i="11"/>
  <c r="E20" i="11"/>
  <c r="E27" i="11"/>
  <c r="E25" i="11"/>
  <c r="E32" i="11"/>
  <c r="E31" i="11"/>
  <c r="E30" i="11"/>
  <c r="E29" i="11"/>
  <c r="E28" i="11"/>
  <c r="E24" i="11"/>
  <c r="E23" i="11"/>
  <c r="E22" i="11"/>
  <c r="E19" i="11"/>
  <c r="E18" i="11"/>
  <c r="E17" i="11"/>
  <c r="E16" i="11"/>
  <c r="E15" i="11"/>
  <c r="E14" i="11"/>
  <c r="E13" i="11"/>
  <c r="E12" i="11"/>
  <c r="E11" i="11"/>
  <c r="E10" i="11"/>
  <c r="E5" i="11"/>
  <c r="E6" i="11"/>
  <c r="E9" i="11" l="1"/>
  <c r="E8" i="11"/>
  <c r="E7" i="11"/>
  <c r="E4" i="11"/>
  <c r="E1" i="11" s="1"/>
  <c r="D1" i="18"/>
  <c r="C2" i="22" s="1"/>
  <c r="C9" i="22" s="1"/>
  <c r="D2" i="22" l="1"/>
  <c r="D9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tc={90028B18-44D2-4204-9ED5-622CF192F4E6}</author>
  </authors>
  <commentList>
    <comment ref="C2" authorId="0" shapeId="0" xr:uid="{90028B18-44D2-4204-9ED5-622CF192F4E6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General Question to add. 
Are the documents in the standard templates and diagrams following ArchiMate?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C4" authorId="0" shapeId="0" xr:uid="{51FC3C23-AD47-2044-9119-7ABC1A4B4E71}">
      <text>
        <r>
          <rPr>
            <b/>
            <sz val="9"/>
            <color rgb="FF000000"/>
            <rFont val="Tahoma"/>
            <family val="2"/>
          </rPr>
          <t>Willoughby, Bobby: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From Linda Custodio: There is not a link for initiating an ET TSA. Usually, through the course of participating in the ET Core/Common ARB sessions, the Architect is advised by our team (i.e., Rachel Singewald, Matyas Vajda) when an TSA is required, or the Architect contacts our team directly to initiate one.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Here is the process: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The FLRC IT Risk Assurance team (Matt Matyas) will issue a final summary and send the opinion via email. The assessment info is stored on FLRC's TSA SP.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If an issue is identified, it will be recorded in ServiceNow and the remediation plan/target remediate date will be determined between the Issue Owner and the FLRC Operations Support team (Heather Mueller's team)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Willoughby, Bobby</author>
  </authors>
  <commentList>
    <comment ref="T3" authorId="0" shapeId="0" xr:uid="{59ED201B-3A80-4787-8BB9-1D30116C0ED0}">
      <text>
        <r>
          <rPr>
            <b/>
            <sz val="9"/>
            <color indexed="81"/>
            <rFont val="Tahoma"/>
            <family val="2"/>
          </rPr>
          <t>Willoughby, Bobby:</t>
        </r>
        <r>
          <rPr>
            <sz val="9"/>
            <color indexed="81"/>
            <rFont val="Tahoma"/>
            <family val="2"/>
          </rPr>
          <t xml:space="preserve">
This field is updates with a value to the right based on the Solution Design Type.</t>
        </r>
      </text>
    </comment>
  </commentList>
</comments>
</file>

<file path=xl/sharedStrings.xml><?xml version="1.0" encoding="utf-8"?>
<sst xmlns="http://schemas.openxmlformats.org/spreadsheetml/2006/main" count="854" uniqueCount="429">
  <si>
    <t>Architecture Alignment to Standards:</t>
  </si>
  <si>
    <t>Category</t>
  </si>
  <si>
    <t>Review Group</t>
  </si>
  <si>
    <t>Question</t>
  </si>
  <si>
    <t>Answer</t>
  </si>
  <si>
    <t>Architecture Standards &amp; Policies Alignment Score</t>
  </si>
  <si>
    <t>Where to find more information to be able to answer this question or complete the activity for being able to answer the question</t>
  </si>
  <si>
    <t>Architecture</t>
  </si>
  <si>
    <t>N/A</t>
  </si>
  <si>
    <t>Will the solution be deployed to an approved environment (Physical DataCenter, AWS, Azure, SaaS, PaaS)?</t>
  </si>
  <si>
    <t>What region is the solution hosted in?</t>
  </si>
  <si>
    <t>Are observability, monitoring, and logging requirements defined and accounted for within the solution design and architecture?</t>
  </si>
  <si>
    <t>Are fault tolerance and resiliency requirements defined and accounted for within the solution design and architecture (high availability, failover, redundancy, scalability)?</t>
  </si>
  <si>
    <t>What is the Availability Objective for the solution?</t>
  </si>
  <si>
    <t>Availability Objectives</t>
  </si>
  <si>
    <t>Is the solution architecture aligned with disaster recovery requirements for the solution?</t>
  </si>
  <si>
    <t>Is the solution architecture aligned with backup/recovery requirements for the solution?</t>
  </si>
  <si>
    <t>Is the deployment pattern for the solution documented within the solution architecture?</t>
  </si>
  <si>
    <t>Is the solution aligned with GTS Enterprise Architecture Principles?</t>
  </si>
  <si>
    <t>GTS Architecture Principles</t>
  </si>
  <si>
    <t>If the solution interfaces with an application or exchanges data with an application that is a non-Aegon entity, are the  approved pattern(s) for third party integration documented within the solution architecture?</t>
  </si>
  <si>
    <t>GTS Architecture Repository - https://aegonna.sharepoint.com/sites/GEA/SitePages/Architecture-Documents.aspx
Global Architecture Repository - https://aegonna.sharepoint.com/sites/GTS-GlobalARB/SitePages/Global-Architecture-Repository.aspx</t>
  </si>
  <si>
    <t>CSAT</t>
  </si>
  <si>
    <t>GEA Review Board, Pre-ARB???</t>
  </si>
  <si>
    <t>Has the solution passed the BU Architecture Board review?</t>
  </si>
  <si>
    <t>If the solution is dependent on identity, what is the identity management / identity provider utilized by the solution?</t>
  </si>
  <si>
    <t>What Secrets Vault is used for secrets management?</t>
  </si>
  <si>
    <t>Compliance &amp; Risk</t>
  </si>
  <si>
    <t>Link to Technology Risk Assessment Sharepoint Site</t>
  </si>
  <si>
    <t>Data Privacy</t>
  </si>
  <si>
    <t>Data Governance</t>
  </si>
  <si>
    <t>To initiate this request, contact Adam Kaminsky</t>
  </si>
  <si>
    <t>Infrastructure</t>
  </si>
  <si>
    <t>Stefan Simenon is the Infrastructure Representative</t>
  </si>
  <si>
    <t>Quality Assurance</t>
  </si>
  <si>
    <t>This question is a part of the scorecard to confirm that there are no additional changes that would require a re-validation of the architecture prior to ARB sign off of the Final ARB.</t>
  </si>
  <si>
    <t>Security</t>
  </si>
  <si>
    <t>Representative is in ARB Readiness - Nick Russel, Chad Hunter, or Jeff Bain</t>
  </si>
  <si>
    <t>CCAT</t>
  </si>
  <si>
    <t>Software/Hardware Acquisition</t>
  </si>
  <si>
    <t>Yes</t>
  </si>
  <si>
    <t>No</t>
  </si>
  <si>
    <t>Availability is not a requirement</t>
  </si>
  <si>
    <t>Partial</t>
  </si>
  <si>
    <t>Link to Approved Container/Images Documentation Needs to be Added Here</t>
  </si>
  <si>
    <t>Not Final ARB</t>
  </si>
  <si>
    <t>Password to unlock cells is:</t>
  </si>
  <si>
    <t>Architecture Review Board Type</t>
  </si>
  <si>
    <t>Yes, No, N/A</t>
  </si>
  <si>
    <t>gea</t>
  </si>
  <si>
    <t>99.9% Availability</t>
  </si>
  <si>
    <t>Proof of Concept</t>
  </si>
  <si>
    <t>99.8% Availability</t>
  </si>
  <si>
    <t>99.5% Availability</t>
  </si>
  <si>
    <t>Don't know</t>
  </si>
  <si>
    <t>Component Architecture Standard</t>
  </si>
  <si>
    <t>99.0% Availability</t>
  </si>
  <si>
    <t>Architecture Design Pattern</t>
  </si>
  <si>
    <t>Availability requirement is not defined</t>
  </si>
  <si>
    <t>Don't Know</t>
  </si>
  <si>
    <t>Unknown</t>
  </si>
  <si>
    <t>Reference Architecture</t>
  </si>
  <si>
    <t>Other</t>
  </si>
  <si>
    <t>Architecture Controls, Policies or Standards</t>
  </si>
  <si>
    <t>Architecture Exception</t>
  </si>
  <si>
    <t>What is the type of architecture review board approval requested?</t>
  </si>
  <si>
    <t>If this is Project Solution - Design ARB, within the solution design document and ARB presentation, is the Impacted Technology Components table populated, including CMDB IDs for all technology components currently in production or with a 'New' indicator for components to be added to the CMDB?</t>
  </si>
  <si>
    <t>Exception to Standards - Link to Risk Acceptance, Risk Remediation, or explanation</t>
  </si>
  <si>
    <t>CMDB Link - Risk Rating must be completed prior to approving Final ARB.  Completing the Application Risk rating is the responsibility of the Application Owner.</t>
  </si>
  <si>
    <t>See Slide 7 of GTS ARB Charter</t>
  </si>
  <si>
    <t>This document lists the pre and post ARB requirements from GTS Architects and GTS Architecture Delivery Product Owner/ARB Facilitator.</t>
  </si>
  <si>
    <t xml:space="preserve">Pre GTS ARB: </t>
  </si>
  <si>
    <t>Create a directory to serve as a repository for architecture documents in the GTS Solution Design repository.</t>
  </si>
  <si>
    <t>Copy the official version of the proper design document and scorecard from the GTS ARB SharePoint site to the above directory.</t>
  </si>
  <si>
    <t>Complete the Architecture Alignment to Standards Scorecard.</t>
  </si>
  <si>
    <t>Complete the design document and send it out for Peer Review and signoffs from requestor.</t>
  </si>
  <si>
    <t>Open an ARB Request, ensuring all required fields are completed.</t>
  </si>
  <si>
    <t xml:space="preserve">Create a PowerPoint presentation for review/approve at Readiness Check. Any changes made in Readiness Check will also be documented before review at GTS ARB. </t>
  </si>
  <si>
    <t>Once the peer feedback is considered, create a request on ARB SharePoint, if not already done.</t>
  </si>
  <si>
    <t>Ensure the Scorecard meets minimum of 90% score.</t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</si>
  <si>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Note the scorecard of any architecture exceptions due to not meeting a requirement.</t>
    </r>
  </si>
  <si>
    <r>
      <t>·</t>
    </r>
    <r>
      <rPr>
        <sz val="14"/>
        <color theme="1"/>
        <rFont val="Times New Roman"/>
        <family val="1"/>
      </rPr>
      <t xml:space="preserve">         </t>
    </r>
    <r>
      <rPr>
        <sz val="14"/>
        <color theme="1"/>
        <rFont val="Aptos"/>
        <family val="2"/>
      </rPr>
      <t>Architecture exceptions should be logged.  You do not need to wait for approval to do this.</t>
    </r>
  </si>
  <si>
    <t>o    Exceptions to Standards process .</t>
  </si>
  <si>
    <t>Present design at GTS ARB Readiness Check meeting</t>
  </si>
  <si>
    <t>Requires sign off from Security, Data Privacy, Risk, Architecture.</t>
  </si>
  <si>
    <t>PO will update ARB site with ARB date after approved in readiness check.</t>
  </si>
  <si>
    <t>Post GTS ARB Approval:</t>
  </si>
  <si>
    <t>Upload approved ARB presentation to the ARB Request on the GTS ARB SharePoint.</t>
  </si>
  <si>
    <t>Upload the Architecture Design/Artifact to the appropriate directory on the GEA Architecture Repository, adding required meta data.</t>
  </si>
  <si>
    <t>·         Solution Design</t>
  </si>
  <si>
    <t>·         Component Standard</t>
  </si>
  <si>
    <t>·         Reference Architecture</t>
  </si>
  <si>
    <t>·         Architecture Pattern</t>
  </si>
  <si>
    <t>·         Proof of Concept</t>
  </si>
  <si>
    <t xml:space="preserve">If the work is being handed over to an operational team, send a handover email to the Operational teams and requestor. Include GTS PMO if project management resources needs are determined. 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</si>
  <si>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Acceptances</t>
    </r>
    <r>
      <rPr>
        <sz val="12"/>
        <rFont val="Calibri"/>
        <family val="2"/>
        <scheme val="minor"/>
      </rPr>
      <t xml:space="preserve"> documented in the appropriate ServiceNow form?</t>
    </r>
  </si>
  <si>
    <t>Exceptions to standards are logged as GTS Risk Acceptances</t>
  </si>
  <si>
    <r>
      <t xml:space="preserve">If there are Risk Exceptions in the Technical Risk Assessment, are </t>
    </r>
    <r>
      <rPr>
        <b/>
        <sz val="12"/>
        <rFont val="Calibri"/>
        <family val="2"/>
        <scheme val="minor"/>
      </rPr>
      <t>Risks Remediations</t>
    </r>
    <r>
      <rPr>
        <sz val="12"/>
        <rFont val="Calibri"/>
        <family val="2"/>
        <scheme val="minor"/>
      </rPr>
      <t xml:space="preserve"> documented in the appropriate ServiceNow form?</t>
    </r>
  </si>
  <si>
    <t xml:space="preserve">Exceptions to standards are logged as GTS Risk Remediations. </t>
  </si>
  <si>
    <t>If the solution interfaces with an internal application or exchanges data with an internal application, are the approved patterns for internal integration documented within the solution architecture?</t>
  </si>
  <si>
    <t>Date</t>
  </si>
  <si>
    <t>Author</t>
  </si>
  <si>
    <t>Description</t>
  </si>
  <si>
    <t>Bobby Willoughby</t>
  </si>
  <si>
    <t>Corrected "data valuation"" for Identity Question (Line 18) to accommodate for the addition of the Azure Entra ID</t>
  </si>
  <si>
    <t>Added "Azure Entra ID" as an option in Line 18, Identity</t>
  </si>
  <si>
    <t>Added this Change Log</t>
  </si>
  <si>
    <t>To initiate this request, contact gtsiccriskandcontrol@transamerica.com</t>
  </si>
  <si>
    <t>If the GTS ARB approval is a component standard using cloud services, please update the service in the appropriate cloud provider list on the Aegon Global Architecture Board SharePoint site (https://aegonna.sharepoint.com/sites/GTS-GlobalARB)</t>
  </si>
  <si>
    <t>Solution Design</t>
  </si>
  <si>
    <t>Solution Design - Final</t>
  </si>
  <si>
    <t>Architecture peer review completed</t>
  </si>
  <si>
    <t>99.99% Availability</t>
  </si>
  <si>
    <t>&lt;99.0% Availability</t>
  </si>
  <si>
    <t>Assessment Complete</t>
  </si>
  <si>
    <t>Assessment In-Progress</t>
  </si>
  <si>
    <t>Assessment Initiated</t>
  </si>
  <si>
    <t>Assessment Required, Not Initiated</t>
  </si>
  <si>
    <t>Assessment Not Required</t>
  </si>
  <si>
    <t>Refer to the ITCF Framework and ICTF P04.01.02 Information Security Classification Standard for guidance on data classification the controls for processing, storing and transmitting data.
- ITCF Framework: 
https://aegonna.sharepoint.com/sites/GTS-ICC/Intranet/ITCF/Shared%20Documents/Aegon%20Global%20IT%20Control%20Framework.pdf</t>
  </si>
  <si>
    <r>
      <t xml:space="preserve">Data Privacy Impact Assessment (DPIA) status
If this is a </t>
    </r>
    <r>
      <rPr>
        <b/>
        <sz val="12"/>
        <color theme="1"/>
        <rFont val="Calibri"/>
        <family val="2"/>
        <scheme val="minor"/>
      </rPr>
      <t>Solution Design</t>
    </r>
    <r>
      <rPr>
        <sz val="12"/>
        <color theme="1"/>
        <rFont val="Calibri"/>
        <family val="2"/>
        <scheme val="minor"/>
      </rPr>
      <t xml:space="preserve"> and the solution leverages new data sources or new use cases for data</t>
    </r>
  </si>
  <si>
    <t>Technology Solution Assessment (TSA) Status</t>
  </si>
  <si>
    <t>Infrastructure Review/Approval Status</t>
  </si>
  <si>
    <t>If this is a Final ARB for Solution Design, are component standards, architecture design patterns, and reference architectures utilized by the solution in the GTS or Global architecture repository?</t>
  </si>
  <si>
    <t>If this is a Final ARB for Solution Design, does the solution introduce new critical or high vulnerabilities that are unresolved?</t>
  </si>
  <si>
    <t>If this is a Final ARB for Solution Design, are 'New' Business Applications introduced by the solution registered in CMDB and is risk rating completed?</t>
  </si>
  <si>
    <t xml:space="preserve">If this is a Final ARB for Solution Design, does the solution use approved machine / container images? </t>
  </si>
  <si>
    <t>If this is a Final ARB for Solution Design, is GTS First Line Risk &amp; Controls ARB Readiness acknowledgement completed and attached to GTS ARB agenda request?</t>
  </si>
  <si>
    <t>If this is a Final ARB for Solution Design, is GTS Data Privacy Officer ARB readiness acknowledgement completed and attached to GTS ARB agenda request?</t>
  </si>
  <si>
    <t>If this is a Final ARB for Solution Design, does the technology lead responsible for the implementation agree that the solution has been tested and is ready for Project Solution - Final ARB?</t>
  </si>
  <si>
    <t>If this is a Final ARB for Solution Design, is the Security Review completed and ARB readiness sign off / approval attached to GTS ARB agenda request?</t>
  </si>
  <si>
    <t>Final ARB</t>
  </si>
  <si>
    <t>Final ARB with Exception</t>
  </si>
  <si>
    <t>Final ARB Status (YES is GOOD)</t>
  </si>
  <si>
    <t>Final ARB Status (NO is GOOD)</t>
  </si>
  <si>
    <t>Formula changes to allow for easier REFERENCE changes</t>
  </si>
  <si>
    <t>Gen AI</t>
  </si>
  <si>
    <t>If the solution has a dependency on GEN AI has it been logged in the GEN AI Inventory?</t>
  </si>
  <si>
    <t>If the solution has a dependency on GEN AI has it be reviewed and approved by the GEN AI Working Group?</t>
  </si>
  <si>
    <t>Link to GenAi Inventory</t>
  </si>
  <si>
    <r>
      <t xml:space="preserve">Link to GenAi Inventory
</t>
    </r>
    <r>
      <rPr>
        <sz val="12"/>
        <rFont val="Calibri"/>
        <family val="2"/>
        <scheme val="minor"/>
      </rPr>
      <t>Gen AI Approval Status is "Approved" for the use case</t>
    </r>
  </si>
  <si>
    <t>ARCHITECTURE DOMAIN</t>
  </si>
  <si>
    <t>DATA DOMAIN</t>
  </si>
  <si>
    <t>SECURITY DOMAIN</t>
  </si>
  <si>
    <t>PERFORMANCE DOMAIN</t>
  </si>
  <si>
    <t>Performance</t>
  </si>
  <si>
    <t>NON FUNCTIONAL REQUIREMENTS
DOMAIN</t>
  </si>
  <si>
    <t>NFRs</t>
  </si>
  <si>
    <t>Combined Score (AVG)</t>
  </si>
  <si>
    <t>PERFORMANCE?</t>
  </si>
  <si>
    <t>Informational</t>
  </si>
  <si>
    <t>Assessment Complete with Exceptions</t>
  </si>
  <si>
    <t>No - But acceptable</t>
  </si>
  <si>
    <t>Architecture Review Scope</t>
  </si>
  <si>
    <t>Core</t>
  </si>
  <si>
    <t>Common</t>
  </si>
  <si>
    <t>Distinct</t>
  </si>
  <si>
    <t>Links and Further Instructions</t>
  </si>
  <si>
    <t>Scoring</t>
  </si>
  <si>
    <t>Instructions/Comments</t>
  </si>
  <si>
    <t>Acceptable</t>
  </si>
  <si>
    <t>YES is GOOD</t>
  </si>
  <si>
    <t>No is GOOD</t>
  </si>
  <si>
    <t>Risk Treatment Framework.pdf</t>
  </si>
  <si>
    <t>Risk Treatment Request</t>
  </si>
  <si>
    <t>OneTrust</t>
  </si>
  <si>
    <t>Threat Model Request</t>
  </si>
  <si>
    <t>Pass/Fail</t>
  </si>
  <si>
    <r>
      <t xml:space="preserve">What is the </t>
    </r>
    <r>
      <rPr>
        <b/>
        <sz val="12"/>
        <color theme="1"/>
        <rFont val="Calibri"/>
        <family val="2"/>
        <scheme val="minor"/>
      </rPr>
      <t>Enterprise Architecture Classification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</si>
  <si>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Enterprise Architecture Principles</t>
    </r>
    <r>
      <rPr>
        <sz val="12"/>
        <color theme="1"/>
        <rFont val="Calibri"/>
        <family val="2"/>
        <scheme val="minor"/>
      </rPr>
      <t>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</si>
  <si>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Free and Open-Source</t>
    </r>
    <r>
      <rPr>
        <sz val="12"/>
        <color theme="1"/>
        <rFont val="Calibri"/>
        <family val="2"/>
        <scheme val="minor"/>
      </rPr>
      <t xml:space="preserve"> Software Guidance?</t>
    </r>
  </si>
  <si>
    <t>ARB Calendar</t>
  </si>
  <si>
    <t>Not a Solution Design</t>
  </si>
  <si>
    <t xml:space="preserve">Data Confidentiality </t>
  </si>
  <si>
    <t>Data Legal and Regulatory</t>
  </si>
  <si>
    <t>Strictly Confidential</t>
  </si>
  <si>
    <t>Confidential</t>
  </si>
  <si>
    <t>Internal</t>
  </si>
  <si>
    <t>Public</t>
  </si>
  <si>
    <t>No Data Shared</t>
  </si>
  <si>
    <t>Financial Information</t>
  </si>
  <si>
    <t>Personal Identifiable Information</t>
  </si>
  <si>
    <t>Protected Health Information</t>
  </si>
  <si>
    <t>Payment Card Information</t>
  </si>
  <si>
    <t>No Personal Data Shared</t>
  </si>
  <si>
    <t>GEN AI DOMAIN</t>
  </si>
  <si>
    <t>RISKS DOMAIN</t>
  </si>
  <si>
    <t>Gen AI Policy</t>
  </si>
  <si>
    <t>GEN AI</t>
  </si>
  <si>
    <t xml:space="preserve">No GEN AI </t>
  </si>
  <si>
    <t>Key Requirement is fully met</t>
  </si>
  <si>
    <t>Key Requirement is partially met</t>
  </si>
  <si>
    <t>Key Requirement is not met</t>
  </si>
  <si>
    <t>Unknown if the Key Requirement is met</t>
  </si>
  <si>
    <t>Key Requirement is N/A</t>
  </si>
  <si>
    <t>Risks</t>
  </si>
  <si>
    <t>Global IT Architecture Certificate Management Guidance</t>
  </si>
  <si>
    <t>Global Resiliency Design Guidance</t>
  </si>
  <si>
    <t>Global Logging, Monitoring, Observability &amp; Alerting Guidance</t>
  </si>
  <si>
    <t>Global Multi-Factor Authentication Architecture Guidance</t>
  </si>
  <si>
    <t>Global Resiliency Tiers and Design Guidance.pptx</t>
  </si>
  <si>
    <t>Global Resiliency Tier</t>
  </si>
  <si>
    <t>Tier 0 : Core (Titanium)</t>
  </si>
  <si>
    <t>Tier 1 : Mission Critical (Platinum)</t>
  </si>
  <si>
    <t>Tier 2 : Business Critical (Gold)</t>
  </si>
  <si>
    <t>Tier 3 : Important (Silver)</t>
  </si>
  <si>
    <t>Tier 4 : Best Effort (Bronze)</t>
  </si>
  <si>
    <t>Dynamic</t>
  </si>
  <si>
    <t>Assessment Values</t>
  </si>
  <si>
    <t>SD Final</t>
  </si>
  <si>
    <t>All Others</t>
  </si>
  <si>
    <t>DO NOT EDIT</t>
  </si>
  <si>
    <t>CMDB</t>
  </si>
  <si>
    <t xml:space="preserve">GenAI Inventory </t>
  </si>
  <si>
    <t>Enterprise Architecture Charter</t>
  </si>
  <si>
    <t>Input GEN AI Inventory Number</t>
  </si>
  <si>
    <t>Input Gen AI Risk Rating</t>
  </si>
  <si>
    <t>IRM Knowledge - Risk Treatment Framework</t>
  </si>
  <si>
    <t>Risk Treatment Framework Training.pdf</t>
  </si>
  <si>
    <t>Technology Risk Reviews - All Assessments</t>
  </si>
  <si>
    <t>https://aws.amazon.com/architecture/well-architected/</t>
  </si>
  <si>
    <t>https://learn.microsoft.com/en-us/azure/well-architected/</t>
  </si>
  <si>
    <t>Remove this domain?</t>
  </si>
  <si>
    <t>Proof of Concept - Results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</si>
  <si>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Certificate Management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</si>
  <si>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 xml:space="preserve">Secrets Management </t>
    </r>
    <r>
      <rPr>
        <sz val="12"/>
        <color theme="1"/>
        <rFont val="Calibri"/>
        <family val="2"/>
        <scheme val="minor"/>
      </rPr>
      <t>Guidance?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</si>
  <si>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Network/Application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Segmentation</t>
    </r>
    <r>
      <rPr>
        <sz val="12"/>
        <color theme="1"/>
        <rFont val="Calibri"/>
        <family val="2"/>
        <scheme val="minor"/>
      </rPr>
      <t xml:space="preserve"> Guidance?</t>
    </r>
  </si>
  <si>
    <t>THIS IS IN SECURITY ALERADY</t>
  </si>
  <si>
    <r>
      <t xml:space="preserve">What is the </t>
    </r>
    <r>
      <rPr>
        <b/>
        <sz val="12"/>
        <color theme="1"/>
        <rFont val="Calibri"/>
        <family val="2"/>
        <scheme val="minor"/>
      </rPr>
      <t>type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of architecture review board</t>
    </r>
    <r>
      <rPr>
        <sz val="12"/>
        <color theme="1"/>
        <rFont val="Calibri"/>
        <family val="2"/>
        <scheme val="minor"/>
      </rPr>
      <t xml:space="preserve"> requested?</t>
    </r>
  </si>
  <si>
    <t>TPRM Request and Review</t>
  </si>
  <si>
    <t>LLM Impact Assessment Form</t>
  </si>
  <si>
    <t>Transamerica Encryption Standards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</si>
  <si>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Encryption Standards</t>
    </r>
    <r>
      <rPr>
        <sz val="12"/>
        <color theme="1"/>
        <rFont val="Calibri"/>
        <family val="2"/>
        <scheme val="minor"/>
      </rPr>
      <t>?</t>
    </r>
  </si>
  <si>
    <r>
      <t>For</t>
    </r>
    <r>
      <rPr>
        <b/>
        <sz val="12"/>
        <color theme="1"/>
        <rFont val="Calibri"/>
        <family val="2"/>
        <scheme val="minor"/>
      </rPr>
      <t xml:space="preserve"> new LLMs</t>
    </r>
    <r>
      <rPr>
        <sz val="12"/>
        <color theme="1"/>
        <rFont val="Calibri"/>
        <family val="2"/>
        <scheme val="minor"/>
      </rPr>
      <t>, what is the LLM Impact Assessment Status?</t>
    </r>
  </si>
  <si>
    <t xml:space="preserve">​Global TSA register </t>
  </si>
  <si>
    <t xml:space="preserve">​Transamerica  IT Controls Register 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</si>
  <si>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Data Management Policy</t>
    </r>
    <r>
      <rPr>
        <sz val="12"/>
        <color theme="1"/>
        <rFont val="Calibri"/>
        <family val="2"/>
        <scheme val="minor"/>
      </rPr>
      <t>?</t>
    </r>
  </si>
  <si>
    <t>ITCF - Documents - All Documents</t>
  </si>
  <si>
    <r>
      <t xml:space="preserve">Message </t>
    </r>
    <r>
      <rPr>
        <b/>
        <sz val="12"/>
        <color theme="1"/>
        <rFont val="Calibri"/>
        <family val="2"/>
        <scheme val="minor"/>
      </rPr>
      <t>CLMadmin@transamerica.com</t>
    </r>
    <r>
      <rPr>
        <sz val="12"/>
        <color theme="1"/>
        <rFont val="Calibri"/>
        <family val="2"/>
        <scheme val="minor"/>
      </rPr>
      <t xml:space="preserve"> to gain access to the repository.  New requests are initiated in Ariba/ </t>
    </r>
  </si>
  <si>
    <t>Links and Further Instructions or Reference Material</t>
  </si>
  <si>
    <t>2026 Enterprise Technology ARB Charter &amp; Architecture Processes Overview.pptx</t>
  </si>
  <si>
    <t>[When completing the scorecard, Include Reviewer Name(s) here]</t>
  </si>
  <si>
    <t>ET Architecture Repository</t>
  </si>
  <si>
    <t>Daca Architecture Repository</t>
  </si>
  <si>
    <t>Required for Final ARB if the solution leverages aegon / transamerica AWS, ACE, Azure infrastructure</t>
  </si>
  <si>
    <r>
      <t xml:space="preserve">Are cloud </t>
    </r>
    <r>
      <rPr>
        <b/>
        <sz val="12"/>
        <color theme="1"/>
        <rFont val="Calibri"/>
        <family val="2"/>
        <scheme val="minor"/>
      </rPr>
      <t>resource tags</t>
    </r>
    <r>
      <rPr>
        <sz val="12"/>
        <color theme="1"/>
        <rFont val="Calibri"/>
        <family val="2"/>
        <scheme val="minor"/>
      </rPr>
      <t xml:space="preserve"> in place for all cloud resources hosted in Aegon AWS, ACE or Azure infrastructure used by the solution?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</si>
  <si>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Well Architected Framework</t>
    </r>
    <r>
      <rPr>
        <sz val="12"/>
        <color theme="1"/>
        <rFont val="Calibri"/>
        <family val="2"/>
        <scheme val="minor"/>
      </rPr>
      <t>(s)?</t>
    </r>
  </si>
  <si>
    <r>
      <t xml:space="preserve">Does the solution architecture / implementation meet the </t>
    </r>
    <r>
      <rPr>
        <b/>
        <sz val="12"/>
        <color theme="1"/>
        <rFont val="Calibri"/>
        <family val="2"/>
        <scheme val="minor"/>
      </rPr>
      <t>minimum security requirements by app risk rating requirements</t>
    </r>
    <r>
      <rPr>
        <sz val="12"/>
        <color theme="1"/>
        <rFont val="Calibri"/>
        <family val="2"/>
        <scheme val="minor"/>
      </rPr>
      <t>?</t>
    </r>
  </si>
  <si>
    <r>
      <t xml:space="preserve">Required to be </t>
    </r>
    <r>
      <rPr>
        <b/>
        <sz val="12"/>
        <color theme="1"/>
        <rFont val="Calibri"/>
        <family val="2"/>
        <scheme val="minor"/>
      </rPr>
      <t>Completed for FINALs where first time use of LLM is in Scope</t>
    </r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</si>
  <si>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Global Logging, Monitoring, Observability &amp; Alerting Guidance</t>
    </r>
    <r>
      <rPr>
        <sz val="12"/>
        <color theme="1"/>
        <rFont val="Calibri"/>
        <family val="2"/>
        <scheme val="minor"/>
      </rPr>
      <t>?</t>
    </r>
  </si>
  <si>
    <t>US - ADC - Cedar Rapids</t>
  </si>
  <si>
    <t>EU - EDC - Edinburgh</t>
  </si>
  <si>
    <t>AWS - Ireland</t>
  </si>
  <si>
    <t>AWS - Multiple Approved</t>
  </si>
  <si>
    <t>Azure - Multiple Approved</t>
  </si>
  <si>
    <t>Both ADC and EDC</t>
  </si>
  <si>
    <r>
      <t xml:space="preserve">Is the solution deployed in an </t>
    </r>
    <r>
      <rPr>
        <b/>
        <sz val="12"/>
        <color theme="1"/>
        <rFont val="Calibri"/>
        <family val="2"/>
        <scheme val="minor"/>
      </rPr>
      <t>Aegon approved data center and cloud region</t>
    </r>
    <r>
      <rPr>
        <sz val="12"/>
        <color theme="1"/>
        <rFont val="Calibri"/>
        <family val="2"/>
        <scheme val="minor"/>
      </rPr>
      <t>?</t>
    </r>
  </si>
  <si>
    <t>TA SDLC Checklist (2025)</t>
  </si>
  <si>
    <t>Instructions</t>
  </si>
  <si>
    <t>AWS - US West (Oregon)</t>
  </si>
  <si>
    <t>AWS - US West (Oregon + California)</t>
  </si>
  <si>
    <t>AWS - US East (N. Virginia + Ohio)</t>
  </si>
  <si>
    <t>SaaS</t>
  </si>
  <si>
    <t>Azure - East US (Virginia)</t>
  </si>
  <si>
    <t>Azure - East US 2 (Virginia)</t>
  </si>
  <si>
    <t>AWS - US West (N. California)</t>
  </si>
  <si>
    <t>AWS - Europe (Ireland)</t>
  </si>
  <si>
    <t>Azure - North Europe (Ireland)</t>
  </si>
  <si>
    <t>AWS - US East (Ohio)</t>
  </si>
  <si>
    <t>AWS - Europe (London - Requires Architecture Approval, Risk Acceptance or Risk Remediation)</t>
  </si>
  <si>
    <t>AWS - Europe (Frankfurt - Requires Architecture Approval, Risk Acceptance or Risk Remediation)</t>
  </si>
  <si>
    <t>Azure - West Europe (Netherlands - Requires Architecture Approval, Risk Acceptance or Risk Remediation)</t>
  </si>
  <si>
    <t>Azure - Central US (Iowa - Requires Architecture Approval, Risk Acceptance or Risk Remediation)</t>
  </si>
  <si>
    <t>Other - Explain in Comments Section (Requires Architecture Approval, Risk Acceptance or Risk Remediation)</t>
  </si>
  <si>
    <t>Azure - East US 3 (Georgia - Requires Architecture Approval, Risk Acceptance or Risk Remediation)</t>
  </si>
  <si>
    <t>Need to create cloud region guidance in 2026</t>
  </si>
  <si>
    <t>OnePlatform Data Encryption Service User Guide (2022)</t>
  </si>
  <si>
    <t>Reviewing the risk catalog and control catalog as part of requirements identification will help ensure the implementation is aligned to standards for security, compliance, quality</t>
  </si>
  <si>
    <t>Comments to Explain Answer 
(Complete this column if explanation is necessary)</t>
  </si>
  <si>
    <t>Global Workload Placement Guidance (2025)</t>
  </si>
  <si>
    <t>Enterprise Architecture Principles (2025)</t>
  </si>
  <si>
    <t>Global Free &amp; Open Source Software (FOSS) Guidance (2025)</t>
  </si>
  <si>
    <t>Global Logging, Monitoring, Observability &amp; Alerting Guidance (2025)</t>
  </si>
  <si>
    <t>Global Resource Tagging Standards (2025)</t>
  </si>
  <si>
    <t>OnePlatform File Service (2025)</t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</si>
  <si>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Event Notification Service</t>
    </r>
    <r>
      <rPr>
        <sz val="12"/>
        <color theme="1"/>
        <rFont val="Calibri"/>
        <family val="2"/>
        <scheme val="minor"/>
      </rPr>
      <t xml:space="preserve"> to send event‑driven communication across Transamerica systems?</t>
    </r>
  </si>
  <si>
    <r>
      <t xml:space="preserve">Do the applications / sdlc components within the solution use the </t>
    </r>
    <r>
      <rPr>
        <b/>
        <sz val="12"/>
        <color theme="1"/>
        <rFont val="Calibri"/>
        <family val="2"/>
        <scheme val="minor"/>
      </rPr>
      <t>OnePlatform User Authorization Service</t>
    </r>
    <r>
      <rPr>
        <sz val="12"/>
        <color theme="1"/>
        <rFont val="Calibri"/>
        <family val="2"/>
        <scheme val="minor"/>
      </rPr>
      <t xml:space="preserve"> to assign, manage, and enforce user permissions, roles, entitlements, and resource access?</t>
    </r>
  </si>
  <si>
    <t>OnePlatform Event Notification Service User Guide v4 (2025)</t>
  </si>
  <si>
    <t>OnePlatform User Notification Guide (2025)</t>
  </si>
  <si>
    <t>OnePlatform Non-Repudiation Logging User Guide V2 (2023)</t>
  </si>
  <si>
    <t>OnePlatform Audit Logging User Guide V4 (2024)</t>
  </si>
  <si>
    <r>
      <t xml:space="preserve">Is the </t>
    </r>
    <r>
      <rPr>
        <b/>
        <sz val="12"/>
        <rFont val="Calibri"/>
        <family val="2"/>
        <scheme val="minor"/>
      </rPr>
      <t>GEN AI Inventory</t>
    </r>
    <r>
      <rPr>
        <sz val="12"/>
        <rFont val="Calibri"/>
        <family val="2"/>
        <scheme val="minor"/>
      </rPr>
      <t xml:space="preserve"> updated with the use cases and is it </t>
    </r>
    <r>
      <rPr>
        <b/>
        <sz val="12"/>
        <rFont val="Calibri"/>
        <family val="2"/>
        <scheme val="minor"/>
      </rPr>
      <t>Approved</t>
    </r>
    <r>
      <rPr>
        <sz val="12"/>
        <rFont val="Calibri"/>
        <family val="2"/>
        <scheme val="minor"/>
      </rPr>
      <t>?</t>
    </r>
  </si>
  <si>
    <r>
      <t xml:space="preserve">Is the </t>
    </r>
    <r>
      <rPr>
        <b/>
        <sz val="12"/>
        <color theme="1"/>
        <rFont val="Calibri"/>
        <family val="2"/>
        <scheme val="minor"/>
      </rPr>
      <t>GEN AI Risk Rating</t>
    </r>
    <r>
      <rPr>
        <sz val="12"/>
        <color theme="1"/>
        <rFont val="Calibri"/>
        <family val="2"/>
        <scheme val="minor"/>
      </rPr>
      <t xml:space="preserve"> is assigned?</t>
    </r>
  </si>
  <si>
    <r>
      <t xml:space="preserve">Are the business applications, sdlc components and their application services mapped to related entities in ServiceNow per the </t>
    </r>
    <r>
      <rPr>
        <b/>
        <sz val="12"/>
        <color theme="1"/>
        <rFont val="Calibri"/>
        <family val="2"/>
        <scheme val="minor"/>
      </rPr>
      <t>Enterprise Architecture Metamode</t>
    </r>
    <r>
      <rPr>
        <sz val="12"/>
        <color theme="1"/>
        <rFont val="Calibri"/>
        <family val="2"/>
        <scheme val="minor"/>
      </rPr>
      <t>l?</t>
    </r>
  </si>
  <si>
    <t>Approved Compute Regions</t>
  </si>
  <si>
    <t>AWS - US East (N. Virginia)</t>
  </si>
  <si>
    <t>Multiple Approved Clouds</t>
  </si>
  <si>
    <t>Azure - Sweden Central (Gävle - Requires Architecture Approval, Risk Acceptance or Risk Remediation)</t>
  </si>
  <si>
    <t>Approved AI Regions</t>
  </si>
  <si>
    <t>AWS - EU West (Ireland)</t>
  </si>
  <si>
    <t>Azure - Sweden Central</t>
  </si>
  <si>
    <t>Approved Desktop Regions</t>
  </si>
  <si>
    <t>Azure - Central US (Des Moines)</t>
  </si>
  <si>
    <t>AWS - EU Central (Frankfurt)</t>
  </si>
  <si>
    <t>AWS - EU West (London)</t>
  </si>
  <si>
    <t>Approved Call Center Regions</t>
  </si>
  <si>
    <t>Call Center</t>
  </si>
  <si>
    <t>Desktop</t>
  </si>
  <si>
    <t>GenAI</t>
  </si>
  <si>
    <t>Network</t>
  </si>
  <si>
    <t>Other Approved Regions</t>
  </si>
  <si>
    <t>Dynamic Approved Regions</t>
  </si>
  <si>
    <t>What Architecture Domain does this solution fall into?</t>
  </si>
  <si>
    <t xml:space="preserve"> </t>
  </si>
  <si>
    <t xml:space="preserve">  </t>
  </si>
  <si>
    <t>Architecture Domains</t>
  </si>
  <si>
    <t>Multiple</t>
  </si>
  <si>
    <t>Global EA Metamodel Guidance (2025)</t>
  </si>
  <si>
    <r>
      <t xml:space="preserve">Is the solution aligned with Global </t>
    </r>
    <r>
      <rPr>
        <b/>
        <sz val="12"/>
        <color theme="1"/>
        <rFont val="Calibri"/>
        <family val="2"/>
        <scheme val="minor"/>
      </rPr>
      <t>MFA</t>
    </r>
    <r>
      <rPr>
        <sz val="12"/>
        <color theme="1"/>
        <rFont val="Calibri"/>
        <family val="2"/>
        <scheme val="minor"/>
      </rPr>
      <t xml:space="preserve"> Guidance?</t>
    </r>
  </si>
  <si>
    <r>
      <t xml:space="preserve">Is the solution aligned with the </t>
    </r>
    <r>
      <rPr>
        <b/>
        <sz val="12"/>
        <color theme="1"/>
        <rFont val="Calibri"/>
        <family val="2"/>
        <scheme val="minor"/>
      </rPr>
      <t>Transamerica Security Logging &amp; Monitoring Process?</t>
    </r>
  </si>
  <si>
    <r>
      <t>What is the</t>
    </r>
    <r>
      <rPr>
        <b/>
        <sz val="12"/>
        <color theme="1"/>
        <rFont val="Calibri"/>
        <family val="2"/>
        <scheme val="minor"/>
      </rPr>
      <t xml:space="preserve"> Legal &amp; Regulatory Classification </t>
    </r>
    <r>
      <rPr>
        <sz val="12"/>
        <color theme="1"/>
        <rFont val="Calibri"/>
        <family val="2"/>
        <scheme val="minor"/>
      </rPr>
      <t>for data utilized within the solution?</t>
    </r>
  </si>
  <si>
    <r>
      <t xml:space="preserve">If this is a Solution Design Final and the solution leverages new data sources or new use cases for data, has a </t>
    </r>
    <r>
      <rPr>
        <b/>
        <sz val="12"/>
        <color theme="1"/>
        <rFont val="Calibri"/>
        <family val="2"/>
        <scheme val="minor"/>
      </rPr>
      <t>Data Protection / Privacy Impact Assessment (DPIA)</t>
    </r>
    <r>
      <rPr>
        <sz val="12"/>
        <color theme="1"/>
        <rFont val="Calibri"/>
        <family val="2"/>
        <scheme val="minor"/>
      </rPr>
      <t xml:space="preserve"> been completed?</t>
    </r>
  </si>
  <si>
    <t>Not Solution Design Final ARB</t>
  </si>
  <si>
    <t>DPIA Assessment State</t>
  </si>
  <si>
    <t>Security Reivew</t>
  </si>
  <si>
    <t>Review Not Required</t>
  </si>
  <si>
    <t>Review Initiated</t>
  </si>
  <si>
    <t>Review In-Progress</t>
  </si>
  <si>
    <t>Review Complete</t>
  </si>
  <si>
    <t>Review Complete with Exceptions</t>
  </si>
  <si>
    <t>Review Required, Not Initiated</t>
  </si>
  <si>
    <r>
      <t xml:space="preserve">Has the architect considered </t>
    </r>
    <r>
      <rPr>
        <b/>
        <sz val="12"/>
        <rFont val="Calibri"/>
        <family val="2"/>
        <scheme val="minor"/>
      </rPr>
      <t>workload placement options</t>
    </r>
    <r>
      <rPr>
        <sz val="12"/>
        <rFont val="Calibri"/>
        <family val="2"/>
        <scheme val="minor"/>
      </rPr>
      <t>, using an objective framework to understand the workload hosting options?</t>
    </r>
  </si>
  <si>
    <r>
      <rPr>
        <b/>
        <sz val="12"/>
        <color theme="1"/>
        <rFont val="Calibri"/>
        <family val="2"/>
        <scheme val="minor"/>
      </rPr>
      <t>Final ARB for Solution Design:</t>
    </r>
    <r>
      <rPr>
        <sz val="12"/>
        <color theme="1"/>
        <rFont val="Calibri"/>
        <family val="2"/>
        <scheme val="minor"/>
      </rPr>
      <t xml:space="preserve"> Are all referenced component standards, architecture design patterns, and reference architectures published in the architecture repository?</t>
    </r>
  </si>
  <si>
    <r>
      <t xml:space="preserve">Are impacted </t>
    </r>
    <r>
      <rPr>
        <b/>
        <sz val="12"/>
        <color theme="1"/>
        <rFont val="Calibri"/>
        <family val="2"/>
        <scheme val="minor"/>
      </rPr>
      <t>business applications risk-rated</t>
    </r>
    <r>
      <rPr>
        <sz val="12"/>
        <color theme="1"/>
        <rFont val="Calibri"/>
        <family val="2"/>
        <scheme val="minor"/>
      </rPr>
      <t xml:space="preserve"> in the CMDB?</t>
    </r>
  </si>
  <si>
    <r>
      <t xml:space="preserve">Are exceptions to standards properly logged as </t>
    </r>
    <r>
      <rPr>
        <b/>
        <sz val="12"/>
        <rFont val="Calibri"/>
        <family val="2"/>
        <scheme val="minor"/>
      </rPr>
      <t xml:space="preserve">Risk Acceptances or Risk Remediations? </t>
    </r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</si>
  <si>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logged risks accepted </t>
    </r>
    <r>
      <rPr>
        <sz val="12"/>
        <color theme="1"/>
        <rFont val="Calibri"/>
        <family val="2"/>
        <scheme val="minor"/>
      </rPr>
      <t>by the owner of the related policy / standard?</t>
    </r>
  </si>
  <si>
    <r>
      <t>Are l</t>
    </r>
    <r>
      <rPr>
        <b/>
        <sz val="12"/>
        <color theme="1"/>
        <rFont val="Calibri"/>
        <family val="2"/>
        <scheme val="minor"/>
      </rPr>
      <t xml:space="preserve">ogged remediations defined </t>
    </r>
    <r>
      <rPr>
        <sz val="12"/>
        <color theme="1"/>
        <rFont val="Calibri"/>
        <family val="2"/>
        <scheme val="minor"/>
      </rPr>
      <t>with remediation plans agreed to by the remediation owner?</t>
    </r>
  </si>
  <si>
    <t>Data Protection</t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</si>
  <si>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User Notification Service</t>
    </r>
    <r>
      <rPr>
        <sz val="12"/>
        <color theme="1"/>
        <rFont val="Calibri"/>
        <family val="2"/>
        <scheme val="minor"/>
      </rPr>
      <t xml:space="preserve"> to send outbound communications—email, SMS, and robocalls - for user notifications?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</si>
  <si>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Non-Repudiation Service</t>
    </r>
    <r>
      <rPr>
        <sz val="12"/>
        <color theme="1"/>
        <rFont val="Calibri"/>
        <family val="2"/>
        <scheme val="minor"/>
      </rPr>
      <t xml:space="preserve"> to ensure users, systems, and external parties cannot deny having performed an action, submitted a transaction, or initiated a request after it has occurred?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</si>
  <si>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Audit Logging Service</t>
    </r>
    <r>
      <rPr>
        <sz val="12"/>
        <color theme="1"/>
        <rFont val="Calibri"/>
        <family val="2"/>
        <scheme val="minor"/>
      </rPr>
      <t xml:space="preserve"> to provide a secure, immutable audit log for events that need to record “who did what, when, and from where”?</t>
    </r>
  </si>
  <si>
    <r>
      <t xml:space="preserve">Do the sdlc components within the solution use the </t>
    </r>
    <r>
      <rPr>
        <b/>
        <sz val="12"/>
        <color theme="1"/>
        <rFont val="Calibri"/>
        <family val="2"/>
        <scheme val="minor"/>
      </rPr>
      <t>OnePlatform File Service</t>
    </r>
    <r>
      <rPr>
        <sz val="12"/>
        <color theme="1"/>
        <rFont val="Calibri"/>
        <family val="2"/>
        <scheme val="minor"/>
      </rPr>
      <t xml:space="preserve"> to move files from source to target across internal (including Aegon cloud)  platforms  internally with required security, audit and compliance controls?</t>
    </r>
  </si>
  <si>
    <r>
      <t>Are the</t>
    </r>
    <r>
      <rPr>
        <b/>
        <sz val="12"/>
        <color theme="1"/>
        <rFont val="Calibri"/>
        <family val="2"/>
        <scheme val="minor"/>
      </rPr>
      <t xml:space="preserve"> peer reviews completed</t>
    </r>
    <r>
      <rPr>
        <sz val="12"/>
        <color theme="1"/>
        <rFont val="Calibri"/>
        <family val="2"/>
        <scheme val="minor"/>
      </rPr>
      <t xml:space="preserve"> and all comments resolved?</t>
    </r>
  </si>
  <si>
    <t>What is the status of the Technology Solution Assessment (TSA)?</t>
  </si>
  <si>
    <t>Compute/Data</t>
  </si>
  <si>
    <t>risk rating informs the minimum security requirements by app risk rating</t>
  </si>
  <si>
    <r>
      <t xml:space="preserve">What is the </t>
    </r>
    <r>
      <rPr>
        <b/>
        <sz val="12"/>
        <color theme="1"/>
        <rFont val="Calibri"/>
        <family val="2"/>
        <scheme val="minor"/>
      </rPr>
      <t>Security Review</t>
    </r>
    <r>
      <rPr>
        <sz val="12"/>
        <color theme="1"/>
        <rFont val="Calibri"/>
        <family val="2"/>
        <scheme val="minor"/>
      </rPr>
      <t xml:space="preserve"> Status?</t>
    </r>
  </si>
  <si>
    <t>Has the Global IT Risk Catalog and / or TA IT Controls Assessment been reviewed by the team to identify relevant requirements for the implementation?</t>
  </si>
  <si>
    <r>
      <t xml:space="preserve">Is the solution aligned with the </t>
    </r>
    <r>
      <rPr>
        <b/>
        <sz val="12"/>
        <rFont val="Calibri"/>
        <family val="2"/>
        <scheme val="minor"/>
      </rPr>
      <t>minimum TA and Global SDLC Standard's</t>
    </r>
    <r>
      <rPr>
        <sz val="12"/>
        <rFont val="Calibri"/>
        <family val="2"/>
        <scheme val="minor"/>
      </rPr>
      <t>?</t>
    </r>
  </si>
  <si>
    <t>BUSINESS ENABLEMENT</t>
  </si>
  <si>
    <t>Multiple Datacenters/Clouds</t>
  </si>
  <si>
    <r>
      <t>Is the use of</t>
    </r>
    <r>
      <rPr>
        <b/>
        <sz val="12"/>
        <color theme="1"/>
        <rFont val="Calibri"/>
        <family val="2"/>
        <scheme val="minor"/>
      </rPr>
      <t xml:space="preserve"> production data limited to production environments</t>
    </r>
    <r>
      <rPr>
        <sz val="12"/>
        <color theme="1"/>
        <rFont val="Calibri"/>
        <family val="2"/>
        <scheme val="minor"/>
      </rPr>
      <t>?</t>
    </r>
  </si>
  <si>
    <r>
      <t xml:space="preserve">Is the solution integrated with our </t>
    </r>
    <r>
      <rPr>
        <b/>
        <sz val="12"/>
        <color theme="1"/>
        <rFont val="Calibri"/>
        <family val="2"/>
        <scheme val="minor"/>
      </rPr>
      <t xml:space="preserve">Identity Access Governance </t>
    </r>
    <r>
      <rPr>
        <sz val="12"/>
        <color theme="1"/>
        <rFont val="Calibri"/>
        <family val="2"/>
        <scheme val="minor"/>
      </rPr>
      <t>platform tool and processes</t>
    </r>
  </si>
  <si>
    <r>
      <t xml:space="preserve">For new software / systems presented for solution design initial or final with High Complexity requirements or architecturally significant changes, is the </t>
    </r>
    <r>
      <rPr>
        <b/>
        <sz val="12"/>
        <color theme="1"/>
        <rFont val="Calibri"/>
        <family val="2"/>
        <scheme val="minor"/>
      </rPr>
      <t>Threat Model Assessment complete</t>
    </r>
    <r>
      <rPr>
        <sz val="12"/>
        <color theme="1"/>
        <rFont val="Calibri"/>
        <family val="2"/>
        <scheme val="minor"/>
      </rPr>
      <t>?</t>
    </r>
  </si>
  <si>
    <t>BUSINESS ENABLEMENT TECH SERVICES</t>
  </si>
  <si>
    <r>
      <t xml:space="preserve">Does the architecture integrate with approved </t>
    </r>
    <r>
      <rPr>
        <b/>
        <sz val="12"/>
        <color theme="1"/>
        <rFont val="Calibri"/>
        <family val="2"/>
        <scheme val="minor"/>
      </rPr>
      <t>Identity and Access Management tooling</t>
    </r>
    <r>
      <rPr>
        <sz val="12"/>
        <color theme="1"/>
        <rFont val="Calibri"/>
        <family val="2"/>
        <scheme val="minor"/>
      </rPr>
      <t>?</t>
    </r>
  </si>
  <si>
    <t>PingOne, Okta, ISAM</t>
  </si>
  <si>
    <t>Keyfactor</t>
  </si>
  <si>
    <t>Sailpoint</t>
  </si>
  <si>
    <t>Cyberark, AWS Secrets Manager</t>
  </si>
  <si>
    <r>
      <t xml:space="preserve">Is the solution aligned with our </t>
    </r>
    <r>
      <rPr>
        <b/>
        <sz val="12"/>
        <color theme="1"/>
        <rFont val="Calibri"/>
        <family val="2"/>
        <scheme val="minor"/>
      </rPr>
      <t>Privileged Access Management tooling, process and controls</t>
    </r>
    <r>
      <rPr>
        <sz val="12"/>
        <color theme="1"/>
        <rFont val="Calibri"/>
        <family val="2"/>
        <scheme val="minor"/>
      </rPr>
      <t>?</t>
    </r>
  </si>
  <si>
    <t>CyberArk</t>
  </si>
  <si>
    <t>OnePlatform User Authorization Service (2024)</t>
  </si>
  <si>
    <r>
      <t xml:space="preserve">Does the solution architecture / implementation leverage the </t>
    </r>
    <r>
      <rPr>
        <b/>
        <sz val="12"/>
        <color theme="1"/>
        <rFont val="Calibri"/>
        <family val="2"/>
        <scheme val="minor"/>
      </rPr>
      <t xml:space="preserve">One Platform Data Encryption service </t>
    </r>
    <r>
      <rPr>
        <sz val="12"/>
        <color theme="1"/>
        <rFont val="Calibri"/>
        <family val="2"/>
        <scheme val="minor"/>
      </rPr>
      <t>to ensure data is encrypted at rest and in transit?</t>
    </r>
  </si>
  <si>
    <r>
      <t xml:space="preserve">What is the </t>
    </r>
    <r>
      <rPr>
        <b/>
        <sz val="12"/>
        <color theme="1"/>
        <rFont val="Calibri"/>
        <family val="2"/>
        <scheme val="minor"/>
      </rPr>
      <t>Data Confidentiality Classification</t>
    </r>
    <r>
      <rPr>
        <sz val="12"/>
        <color theme="1"/>
        <rFont val="Calibri"/>
        <family val="2"/>
        <scheme val="minor"/>
      </rPr>
      <t xml:space="preserve"> for data utilized within the solution?</t>
    </r>
  </si>
  <si>
    <t>Exceptions to standards must be logged using the Risk Treatment framework and approved prior to receiving ARB approval</t>
  </si>
  <si>
    <t>Required for Final ARB: To request a Technology Solution Assessment, contact Matyas.Vajda@aegon.com and Rachel.Singewald@transamerica.com</t>
  </si>
  <si>
    <r>
      <t xml:space="preserve">Are </t>
    </r>
    <r>
      <rPr>
        <b/>
        <sz val="12"/>
        <color theme="1"/>
        <rFont val="Calibri"/>
        <family val="2"/>
        <scheme val="minor"/>
      </rPr>
      <t xml:space="preserve">GEN AI use cases </t>
    </r>
    <r>
      <rPr>
        <sz val="12"/>
        <color theme="1"/>
        <rFont val="Calibri"/>
        <family val="2"/>
        <scheme val="minor"/>
      </rPr>
      <t>a part of the solution design?</t>
    </r>
  </si>
  <si>
    <t>Architecture Resiliency Tier &amp; Design Criteria Assessment</t>
  </si>
  <si>
    <r>
      <t xml:space="preserve">If the solution is introducing a new Tier 0 (Core Infrastructure), Tier 1 (Mission Critical), Tier 2 (Business Critical) or Tier 3 (Important) solution, is the </t>
    </r>
    <r>
      <rPr>
        <b/>
        <sz val="12"/>
        <color theme="1"/>
        <rFont val="Calibri"/>
        <family val="2"/>
        <scheme val="minor"/>
      </rPr>
      <t>Architecture Resiliency Tier &amp; Design Criteria Assessment</t>
    </r>
    <r>
      <rPr>
        <sz val="12"/>
        <color theme="1"/>
        <rFont val="Calibri"/>
        <family val="2"/>
        <scheme val="minor"/>
      </rPr>
      <t xml:space="preserve"> completed and in the Architecture Design Folder?</t>
    </r>
  </si>
  <si>
    <t>Global Resiliency Tiers &amp; Design Criteria</t>
  </si>
  <si>
    <t>If more than 1 Domain Failure or
Average Score is &lt; 90, then FAIL</t>
  </si>
  <si>
    <r>
      <t xml:space="preserve">BUSINESS ENABLEMENT </t>
    </r>
    <r>
      <rPr>
        <b/>
        <sz val="12"/>
        <color theme="1"/>
        <rFont val="Calibri"/>
        <family val="2"/>
        <scheme val="minor"/>
      </rPr>
      <t>(DINSTINCT ONLY)</t>
    </r>
  </si>
  <si>
    <t>&lt;-- Include the link to the assessement as evidence</t>
  </si>
  <si>
    <t>https://aegonna.sharepoint.com/:x:/r/sites/TA-ProjectMethodology/_layouts/15/Doc.aspx?sourcedoc=%7BB2A86D3C-C120-4C87-9F1D-1591EEE31E5F%7D&amp;file=SDLC%202.0%20Checklist%20and%20RACI.xlsx&amp;action=default&amp;mobileredirect=true</t>
  </si>
  <si>
    <t>https://aegonna.sharepoint.com/:p:/r/sites/GEA/_layouts/15/Doc.aspx?sourcedoc=%7B751DCB16-8E6D-4CC5-BD0A-17AC94837E7C%7D&amp;file=2026%20Enterprise%20Technology%20ARB%20Charter%20&amp;%20Architecture%20Processes%20Overview.pptx=&amp;action=edit&amp;mobileredirect=true</t>
  </si>
  <si>
    <t>https://aegonna.sharepoint.com/:w:/r/sites/GTS-GlobalARB/_layouts/15/Doc.aspx?sourcedoc=%7BDE694E79-B787-4BF8-B39D-C8B841FCA44E%7D&amp;file=Global%20Workload%20Placement%20Guidance.docx&amp;action=default&amp;mobileredirect=true</t>
  </si>
  <si>
    <t>https://aegonna.sharepoint.com/sites/GTS-GlobalARB/SitePages/Aegon-Global-Architecture-Principles.aspx?csf=1&amp;web=1&amp;e=qScbqN</t>
  </si>
  <si>
    <t>https://aegon.sharepoint.com/sites/CC-PolicyHouseGroup-10099/Shared%20Documents/Software%20Development%20Lifecycle%20Standard.pdf</t>
  </si>
  <si>
    <t>https://aegonna.sharepoint.com/:p:/r/sites/GTS-GlobalARB/_layouts/15/Doc.aspx?sourcedoc=%7BAE7A5AE2-DEE6-431B-B2DC-41F5F2E2B6B9%7D&amp;file=Global%20Free%20&amp;%20Open%20Source%20Software%20(FOSS)%20Guidance.pptx=&amp;action=edit&amp;mobileredirect=true</t>
  </si>
  <si>
    <t>https://aegonna.sharepoint.com/:w:/r/sites/GTS-GlobalARB/Aegon%20Global%20Architecture%20Policies%20and%20Standards/Global%20Logging,%20Monitoring,%20Observability%20%26%20Alerting%20Guidance.docx?d=w7489c70f511f4ad3a0705b1da976f51f&amp;csf=1&amp;web=1&amp;e=fnstw3</t>
  </si>
  <si>
    <t>https://aegonna.sharepoint.com/:x:/r/sites/GEA/Templates/In%20Review/Architecture%20Resiliency%20Tier%20%26%20Design%20Criteria%20Assessment.xlsx?d=wdd5b89f510324f1f8e413e7b59c78c29&amp;csf=1&amp;web=1&amp;e=KsRIX9</t>
  </si>
  <si>
    <t>https://aegonna.sharepoint.com/:w:/r/sites/GTS-GlobalARB/Aegon%20Global%20Architecture%20Policies%20and%20Standards/Global%20Resource%20Tagging%20Standard.docx?d=w2d1b853fcbfe4e6cbf13d55a50fdaeb2&amp;csf=1&amp;web=1&amp;e=j7C6HU</t>
  </si>
  <si>
    <t>https://aegonna.sharepoint.com/:w:/r/sites/GTS-GlobalARB/Aegon%20Global%20Architecture%20Policies%20and%20Standards/Global%20Enterprise%20Architecture%20Metamodel%20Guidance.docx?d=w9bfb1f296d0142d89c35e70f1ef9a6da&amp;csf=1&amp;web=1&amp;e=W0CUsA</t>
  </si>
  <si>
    <t>https://aegonna.sharepoint.com/sites/GEA/SitePages/Architecture-Documents.aspx</t>
  </si>
  <si>
    <t>https://aegon.service-now.com/now/nav/ui/classic/params/target/cmdb_ci_business_app_list.do</t>
  </si>
  <si>
    <t>https://aegonna.sharepoint.com/:p:/r/sites/GTS-GlobalARB/Aegon%20Global%20Architecture%20Policies%20and%20Standards/Global%20Resiliency%20Tiers%20and%20Design%20Guidance.pptx?d=w0670e2b0a05a42e98a99d6b0ee3d5a1b&amp;csf=1&amp;web=1&amp;e=Bsj0ee</t>
  </si>
  <si>
    <t>https://aegonna.sharepoint.com/sites/GTS-GlobalARB/SitePages/Global-Architecture-Repository.aspx</t>
  </si>
  <si>
    <t>https://aegonna.sharepoint.com/:p:/s/GEA/cQr7F2hx5WGuQ7YvZOjTlEATEgUAegZ3q5TiBVPlY7cEx_fJkw</t>
  </si>
  <si>
    <t>For Component Standards, complete the OneTrust Asset Discovery Questionaire</t>
  </si>
  <si>
    <t>https://aegonna.sharepoint.com/:w:/r/sites/TechnologySharedPlatform/Public/One%20Platform%20Services/7.%20File%20Service/User%20Guide.docx?d=wf54f72207c4348daab25f4d502df0be9&amp;csf=1&amp;web=1&amp;e=lJKh6e</t>
  </si>
  <si>
    <t>https://aegonna.sharepoint.com/:w:/r/sites/TechnologySharedPlatform/Public/One%20Platform%20Services/1.%20Audit%20Service/Oneplatform%20Audit%20Logging%20User%20Guide%20V4.docx?d=wce3b218e963f4448820c3d46c76a1c2a&amp;csf=1&amp;web=1&amp;e=fYLivM</t>
  </si>
  <si>
    <t>https://aegonna.sharepoint.com/:w:/r/sites/TechnologySharedPlatform/Public/One%20Platform%20Services/8.%20Non-Repudiation%20Service/Oneplatform%20Non-Repudiation%20Logging%20User%20Guide%20V2.docx?d=w14b65ff341894f4b991fa4484b3a3b67&amp;csf=1&amp;web=1&amp;e=cYYEKX</t>
  </si>
  <si>
    <t>https://aegonna.sharepoint.com/:w:/r/sites/TechnologySharedPlatform/Public/One%20Platform%20Services/9.%20User%20Notification%20Service/User%20Notification%20Guide.docx?d=we557168aa9154789b15cd99896fa1cdd&amp;csf=1&amp;web=1&amp;e=LZwike</t>
  </si>
  <si>
    <t>https://aegonna.sharepoint.com/:w:/r/sites/TechnologySharedPlatform/Public/One%20Platform%20Services/6.%20Event%20Notification%20Service/Event%20Notification%20Service%20User%20Guide%20v4.docx?d=we313efda14c34f17a43b2511200ac518&amp;csf=1&amp;web=1&amp;e=8bSIjO</t>
  </si>
  <si>
    <t>https://aegonna.sharepoint.com/:w:/r/sites/TechnologySharedPlatform/Public/One%20Platform%20Services/2.%20Authorization%20Service/ONE_PLATFORM_USER_AUTHORIZATION_SERVICE_USER_GUIDE.docx?d=wa20e16d56d1e462ea7d7b59ba5d38d5e&amp;csf=1&amp;web=1&amp;e=QuVaGP</t>
  </si>
  <si>
    <t>https://aegonna.sharepoint.com/:w:/r/sites/TechnologySharedPlatform/Public/One%20Platform%20Services/5.%20Data%20Encryption%20Service/Data%20Encryption%20Service%20User%20Guide%20v3.docx?d=wd1c5e8ea80454db995c9db5c47d69ba9&amp;csf=1&amp;web=1&amp;e=9cXkVf</t>
  </si>
  <si>
    <t>https://aegon.sharepoint.com/sites/CC-PolicyHouseGroup-10099/Shared%20Documents/Data%20Management%20Policy.pdf</t>
  </si>
  <si>
    <t>https://app-de.onetrust.com/auth/login</t>
  </si>
  <si>
    <t>https://aegon.sharepoint.com/:b:/r/sites/CC-PolicyHouseGroup-10099/Shared%20Documents/Generative%20AI%20Policy.pdf?csf=1&amp;web=1&amp;e=ER9yPo</t>
  </si>
  <si>
    <t>https://aegon.sharepoint.com/sites/GTS-GlobalAIInventory-GTS-GenAI/Lists/Global%20AI%20Inventory%20%20GTS/AllItems.aspx</t>
  </si>
  <si>
    <t>https://aegon.service-now.com/asp?id=sc_cat_item&amp;sys_id=21b08b8a83e2ce50282ad2126daad3fd</t>
  </si>
  <si>
    <t>https://aegon.service-now.com/kb?sys_kb_id=4a4481592b5a7254c449f892c891bfcf&amp;id=kb_article_view&amp;sysparm_rank=2&amp;sysparm_tsqueryId=43e4899133563290692689b32d5c7b18</t>
  </si>
  <si>
    <t>https://aegon.service-now.com/asp?id=sc_cat_item&amp;sys_id=c2b0c6e7870d7e146a54646e8bbb354f</t>
  </si>
  <si>
    <t>https://aegonna.sharepoint.com/GTS-GTSRiskReviewAssessment/Lists/Risk%20Catalog/AddRiskDescriptions.aspx</t>
  </si>
  <si>
    <t>https://aegonna.sharepoint.com/GTS-GTSRiskReviewAssessment/Lists/Technology%20Risk%20Reviews/All%20Columns.aspx</t>
  </si>
  <si>
    <t>https://aegonna.sharepoint.com/TA-IntegratedITControlsAssessment</t>
  </si>
  <si>
    <t>https://aegonna.sharepoint.com/:p:/r/sites/GEA/Templates/In%20Review/2026%20Enterprise%20Technology%20ARB%20Charter%20%26%20Architecture%20Processes%20Overview.pptx?d=w751dcb168e6d4cc5bd0a17ac94837e7c&amp;csf=1&amp;web=1&amp;e=AM6hRW</t>
  </si>
  <si>
    <t>https://aegonna.sharepoint.com/:x:/r/sites/TA-ProjectMethodology/Shared%20Documents/M2%20-%20M6%20Plan%20%26%20Analyze/Integrated%20IT%20Controls%20Assessment%20(Final).xlsx?d=w9feba36ffb554e18b22722fa9187a4c4&amp;csf=1&amp;web=1&amp;e=aRbbE1</t>
  </si>
  <si>
    <t>https://aegonna.sharepoint.com/:b:/r/sites/TA-TAInformationSecurityPoliciesandStandards/Public/Transamerica%20Logging%20and%20Monitoring%20Process.pdf?csf=1&amp;web=1&amp;e=tXZpbL</t>
  </si>
  <si>
    <t>https://aegonna.sharepoint.com/:w:/r/sites/GTS-GlobalARB/Global%20Architecture%20Informational%20Presentations/GTS%20Architecture%20CIAM%20Position%20Paper.docx?d=w82978e8df5654367b76bc39f9a585957&amp;csf=1&amp;web=1&amp;e=lGjf0q</t>
  </si>
  <si>
    <t>https://aegonna.sharepoint.com/:w:/r/sites/GEA/Project%20Solutions/SailPoint%20Solution%20Design%20Updates.docx?d=w474be95ffaae41a78a1451567eaa0d91&amp;csf=1&amp;web=1&amp;e=Ryfqym</t>
  </si>
  <si>
    <t>https://aegonna.sharepoint.com/:p:/r/sites/GEA/Reference%20Architecture/Secrets%20Management%20Tool%20Guidelines.pptx?d=w33fada90e2c142e5a650811b2840f87e&amp;csf=1&amp;web=1&amp;e=0ER6dW</t>
  </si>
  <si>
    <t>https://aegonna.sharepoint.com/:w:/r/sites/TA-TAWorkplaceDevOperateTeam/Shared%20Documents/Douglas%20Macnab%20Folder/Aegon%20Privileged%20Access%20Management%20Process%20%26%20Controls.docx?d=w379e4695caba41ddb8f31ddcdb9366c3&amp;csf=1&amp;web=1&amp;e=kgHYo5</t>
  </si>
  <si>
    <t>https://aegonna.sharepoint.com/GTS-GlobalARB/Lists/Aegon%20Global%20ARB%20Calendar%20and%20Decisions/DispForm.aspx?ID=24&amp;e=SaQhKt</t>
  </si>
  <si>
    <t>https://aegonna.sharepoint.com/GTS-GlobalARB/Lists/Aegon%20Global%20ARB%20Calendar%20and%20Decisions/DispForm.aspx?ID=67&amp;e=aFEmdQ</t>
  </si>
  <si>
    <t>https://aegonna.sharepoint.com/GTS-GlobalEngineeringandArchitecture/Shared%20Documents/GTS%20Architecture%20Documents/Intake%20Process/GenAI%20Documentation/LLM%20IMPACT%20ASSESSMENT.docx</t>
  </si>
  <si>
    <t>https://aegonna.sharepoint.com/:p:/r/sites/GEA/Templates/In%20Review/2026%20Enterprise%20Technology%20ARB%20Charter%20%26%20Architecture%20Processes%20Overview.pptx?d=w751dcb168e6d4cc5bd0a17ac94837e7c&amp;csf=1&amp;web=1&amp;e=ZMbkEw</t>
  </si>
  <si>
    <t>https://aegonna.sharepoint.com/sites/GTS-ICC/Intranet/ITCF/Shared%20Documents/Forms/AllItems.aspx?id=%2Fsites%2FGTS%2DICC%2FIntranet%2FITCF%2FShared%20Documents%2FEnablers%20%26%20Checklists&amp;viewid=99189f90%2Df2b0%2D478b%2Da980%2Df93a529e9b18</t>
  </si>
  <si>
    <t>https://aegonna.sharepoint.com/:b:/r/sites/TA-TAInformationSecurityPoliciesandStandards/Public/Transamerica%20Encryption%20Standards.pdf?csf=1&amp;web=1&amp;e=ehl5EJ</t>
  </si>
  <si>
    <t>https://aegonna.sharepoint.com/:w:/r/sites/GTS-GlobalARB/Shared%20Documents/Global%20Cloud%20Application%20Network%20Segmentation%20Guidance/Global%20Cloud%20Application%20Network%20Segmentation%20Guidance.docx</t>
  </si>
  <si>
    <t>Holly Roth is the contact for the GEN AI group.  The distribution email is: AITeam@transamerica.com</t>
  </si>
  <si>
    <t>CS - All Classifications</t>
  </si>
  <si>
    <t>CS - Max Confidential</t>
  </si>
  <si>
    <t>CS - Max Internal</t>
  </si>
  <si>
    <t>CS - Max Public</t>
  </si>
  <si>
    <t>CS - All but PCI</t>
  </si>
  <si>
    <t>CS - PII Only</t>
  </si>
  <si>
    <t>CS -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</si>
</sst>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4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ptos"/>
      <family val="2"/>
    </font>
    <font>
      <u/>
      <sz val="14"/>
      <color theme="10"/>
      <name val="Calibri"/>
      <family val="2"/>
      <scheme val="minor"/>
    </font>
    <font>
      <sz val="14"/>
      <color theme="1"/>
      <name val="Aptos"/>
      <family val="2"/>
    </font>
    <font>
      <sz val="14"/>
      <color theme="1"/>
      <name val="MS Gothic"/>
      <family val="3"/>
    </font>
    <font>
      <sz val="14"/>
      <color theme="1"/>
      <name val="Symbol"/>
      <family val="1"/>
      <charset val="2"/>
    </font>
    <font>
      <sz val="14"/>
      <color theme="1"/>
      <name val="Times New Roman"/>
      <family val="1"/>
    </font>
    <font>
      <sz val="10"/>
      <color theme="1"/>
      <name val="Aptos"/>
      <family val="2"/>
    </font>
    <font>
      <b/>
      <sz val="12"/>
      <name val="Calibri"/>
      <family val="2"/>
      <scheme val="minor"/>
    </font>
    <font>
      <sz val="12"/>
      <color rgb="FF212529"/>
      <name val="Whitney-SSm-Light"/>
    </font>
    <font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4" borderId="2" xfId="0" applyFill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0" fillId="5" borderId="2" xfId="0" applyFill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1" applyBorder="1" applyAlignment="1" applyProtection="1">
      <alignment horizontal="left" vertical="top" wrapText="1"/>
      <protection locked="0"/>
    </xf>
    <xf numFmtId="0" fontId="4" fillId="0" borderId="2" xfId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0" fontId="3" fillId="0" borderId="2" xfId="1" applyBorder="1" applyAlignment="1" applyProtection="1">
      <alignment vertical="top" wrapText="1"/>
      <protection locked="0"/>
    </xf>
    <xf numFmtId="0" fontId="0" fillId="4" borderId="2" xfId="0" applyFill="1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>
      <alignment horizontal="center" vertical="top" wrapText="1"/>
    </xf>
    <xf numFmtId="9" fontId="0" fillId="0" borderId="4" xfId="0" applyNumberFormat="1" applyBorder="1" applyAlignment="1">
      <alignment horizontal="center" vertical="top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6" fillId="6" borderId="2" xfId="1" applyFont="1" applyFill="1" applyBorder="1" applyAlignment="1">
      <alignment horizontal="left" vertical="center" wrapText="1"/>
    </xf>
    <xf numFmtId="0" fontId="0" fillId="0" borderId="5" xfId="0" applyBorder="1" applyAlignment="1" applyProtection="1">
      <alignment horizontal="center" vertical="top" wrapText="1"/>
      <protection locked="0"/>
    </xf>
    <xf numFmtId="0" fontId="0" fillId="0" borderId="5" xfId="0" applyBorder="1" applyAlignment="1">
      <alignment horizontal="center" vertical="top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1" applyBorder="1" applyAlignment="1" applyProtection="1">
      <alignment vertical="top"/>
      <protection locked="0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8" borderId="0" xfId="0" applyFill="1" applyAlignment="1">
      <alignment vertical="top"/>
    </xf>
    <xf numFmtId="0" fontId="0" fillId="0" borderId="5" xfId="0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0" fillId="4" borderId="6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0" borderId="6" xfId="0" applyBorder="1" applyAlignment="1" applyProtection="1">
      <alignment horizontal="left" vertical="top"/>
      <protection locked="0"/>
    </xf>
    <xf numFmtId="0" fontId="0" fillId="4" borderId="6" xfId="0" applyFill="1" applyBorder="1" applyAlignment="1" applyProtection="1">
      <alignment vertical="top" wrapText="1"/>
      <protection locked="0"/>
    </xf>
    <xf numFmtId="0" fontId="0" fillId="8" borderId="0" xfId="0" applyFill="1" applyAlignment="1">
      <alignment vertical="top" wrapText="1"/>
    </xf>
    <xf numFmtId="9" fontId="0" fillId="0" borderId="0" xfId="0" applyNumberFormat="1"/>
    <xf numFmtId="0" fontId="0" fillId="0" borderId="0" xfId="0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0" fillId="8" borderId="2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6" borderId="10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1" fillId="6" borderId="10" xfId="0" applyFont="1" applyFill="1" applyBorder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1" fillId="6" borderId="9" xfId="0" applyFont="1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top" wrapText="1"/>
      <protection locked="0"/>
    </xf>
    <xf numFmtId="0" fontId="3" fillId="0" borderId="0" xfId="1"/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5" xfId="0" applyBorder="1" applyAlignment="1" applyProtection="1">
      <alignment horizontal="left" vertical="top" wrapText="1"/>
      <protection locked="0"/>
    </xf>
    <xf numFmtId="0" fontId="20" fillId="9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8" borderId="2" xfId="0" applyFill="1" applyBorder="1" applyAlignment="1" applyProtection="1">
      <alignment horizontal="left" vertical="top"/>
      <protection locked="0"/>
    </xf>
    <xf numFmtId="0" fontId="17" fillId="0" borderId="2" xfId="0" applyFont="1" applyBorder="1" applyAlignment="1">
      <alignment vertical="top" wrapText="1"/>
    </xf>
    <xf numFmtId="0" fontId="17" fillId="0" borderId="0" xfId="0" applyFont="1"/>
    <xf numFmtId="0" fontId="0" fillId="0" borderId="9" xfId="0" applyBorder="1" applyAlignment="1">
      <alignment vertical="center"/>
    </xf>
    <xf numFmtId="0" fontId="3" fillId="0" borderId="0" xfId="1" applyFill="1" applyBorder="1" applyAlignment="1">
      <alignment vertical="top" wrapText="1"/>
    </xf>
    <xf numFmtId="0" fontId="3" fillId="0" borderId="0" xfId="1" applyBorder="1" applyAlignment="1">
      <alignment vertical="center" wrapText="1"/>
    </xf>
    <xf numFmtId="0" fontId="3" fillId="0" borderId="0" xfId="1" applyBorder="1" applyAlignment="1" applyProtection="1">
      <alignment vertical="top" wrapText="1"/>
      <protection locked="0"/>
    </xf>
    <xf numFmtId="0" fontId="3" fillId="0" borderId="0" xfId="1" applyBorder="1"/>
    <xf numFmtId="0" fontId="3" fillId="0" borderId="0" xfId="1" applyBorder="1" applyAlignment="1">
      <alignment vertical="top" wrapText="1"/>
    </xf>
    <xf numFmtId="0" fontId="3" fillId="0" borderId="0" xfId="1" applyBorder="1" applyAlignment="1">
      <alignment horizontal="left" vertical="center" readingOrder="1"/>
    </xf>
    <xf numFmtId="0" fontId="0" fillId="0" borderId="14" xfId="0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Alignment="1">
      <alignment horizontal="left" vertical="center" wrapText="1"/>
    </xf>
    <xf numFmtId="0" fontId="3" fillId="0" borderId="0" xfId="1" applyAlignment="1">
      <alignment vertical="top"/>
    </xf>
    <xf numFmtId="0" fontId="1" fillId="6" borderId="1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 applyProtection="1">
      <alignment vertical="center" wrapText="1"/>
      <protection locked="0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vertical="center"/>
      <protection locked="0"/>
    </xf>
    <xf numFmtId="0" fontId="0" fillId="4" borderId="2" xfId="0" applyFill="1" applyBorder="1" applyAlignment="1">
      <alignment horizontal="left" vertical="center" wrapText="1"/>
    </xf>
    <xf numFmtId="0" fontId="0" fillId="0" borderId="2" xfId="0" applyBorder="1" applyAlignment="1" applyProtection="1">
      <alignment horizontal="left"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" fillId="0" borderId="2" xfId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3" fillId="0" borderId="0" xfId="1" applyAlignment="1">
      <alignment vertical="center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 wrapText="1"/>
    </xf>
    <xf numFmtId="0" fontId="20" fillId="9" borderId="0" xfId="0" applyFont="1" applyFill="1" applyAlignment="1">
      <alignment wrapText="1"/>
    </xf>
    <xf numFmtId="0" fontId="0" fillId="4" borderId="9" xfId="0" applyFill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9" xfId="0" applyFont="1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23" fillId="0" borderId="0" xfId="0" applyFont="1"/>
    <xf numFmtId="0" fontId="17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3" fillId="0" borderId="0" xfId="1" applyFill="1" applyAlignment="1">
      <alignment vertical="center" wrapText="1"/>
    </xf>
    <xf numFmtId="0" fontId="3" fillId="0" borderId="0" xfId="1" applyFill="1" applyAlignment="1">
      <alignment vertical="center"/>
    </xf>
    <xf numFmtId="0" fontId="3" fillId="0" borderId="2" xfId="1" applyFill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1" fillId="6" borderId="12" xfId="0" applyFont="1" applyFill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20" xfId="0" applyBorder="1"/>
    <xf numFmtId="0" fontId="3" fillId="0" borderId="20" xfId="1" applyBorder="1"/>
    <xf numFmtId="9" fontId="0" fillId="0" borderId="20" xfId="0" applyNumberFormat="1" applyBorder="1"/>
    <xf numFmtId="0" fontId="23" fillId="0" borderId="20" xfId="0" applyFont="1" applyBorder="1"/>
    <xf numFmtId="0" fontId="17" fillId="0" borderId="0" xfId="0" applyFont="1" applyAlignment="1">
      <alignment wrapText="1"/>
    </xf>
    <xf numFmtId="0" fontId="0" fillId="0" borderId="15" xfId="0" applyBorder="1" applyAlignment="1" applyProtection="1">
      <alignment horizontal="left" vertical="center" wrapText="1"/>
      <protection locked="0"/>
    </xf>
    <xf numFmtId="0" fontId="3" fillId="0" borderId="0" xfId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  <protection locked="0"/>
    </xf>
    <xf numFmtId="0" fontId="3" fillId="0" borderId="2" xfId="1" applyBorder="1" applyAlignment="1" applyProtection="1">
      <alignment horizontal="left" vertical="center"/>
      <protection locked="0"/>
    </xf>
    <xf numFmtId="0" fontId="3" fillId="0" borderId="0" xfId="1" applyFill="1"/>
    <xf numFmtId="0" fontId="3" fillId="0" borderId="0" xfId="1" applyAlignment="1" applyProtection="1">
      <alignment horizontal="left" vertical="center"/>
      <protection locked="0"/>
    </xf>
    <xf numFmtId="0" fontId="3" fillId="0" borderId="0" xfId="1" applyAlignment="1">
      <alignment horizontal="left" vertical="top"/>
    </xf>
    <xf numFmtId="0" fontId="3" fillId="0" borderId="0" xfId="1" applyBorder="1" applyAlignment="1" applyProtection="1">
      <alignment horizontal="left" vertical="center"/>
      <protection locked="0"/>
    </xf>
    <xf numFmtId="0" fontId="3" fillId="0" borderId="0" xfId="1" applyAlignment="1">
      <alignment horizontal="left" vertical="center"/>
    </xf>
    <xf numFmtId="0" fontId="0" fillId="0" borderId="0" xfId="0" applyAlignment="1" applyProtection="1">
      <alignment vertical="center" wrapText="1"/>
      <protection locked="0"/>
    </xf>
    <xf numFmtId="0" fontId="3" fillId="0" borderId="0" xfId="1" applyBorder="1" applyAlignment="1">
      <alignment vertical="center"/>
    </xf>
    <xf numFmtId="0" fontId="1" fillId="6" borderId="9" xfId="0" applyFont="1" applyFill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1" fillId="6" borderId="9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2" fillId="0" borderId="0" xfId="0" applyFont="1" applyAlignment="1">
      <alignment horizontal="left" indent="5"/>
    </xf>
    <xf numFmtId="0" fontId="7" fillId="7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1" applyFont="1" applyAlignment="1">
      <alignment horizontal="left" indent="2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2"/>
    </xf>
    <xf numFmtId="0" fontId="9" fillId="0" borderId="0" xfId="1" applyFont="1" applyAlignment="1">
      <alignment horizontal="left" vertical="center" indent="5"/>
    </xf>
    <xf numFmtId="0" fontId="9" fillId="0" borderId="0" xfId="1" applyFont="1" applyAlignment="1">
      <alignment horizontal="left" indent="5"/>
    </xf>
    <xf numFmtId="0" fontId="14" fillId="0" borderId="0" xfId="0" applyFont="1" applyAlignment="1">
      <alignment horizontal="left" vertical="center" indent="10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" fillId="6" borderId="1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37"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ont>
        <color theme="5" tint="-0.2499465926084170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</font>
      <fill>
        <patternFill>
          <bgColor rgb="FFFFB9B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28575</xdr:rowOff>
        </xdr:from>
        <xdr:to>
          <xdr:col>0</xdr:col>
          <xdr:colOff>409575</xdr:colOff>
          <xdr:row>4</xdr:row>
          <xdr:rowOff>47625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</xdr:row>
          <xdr:rowOff>238125</xdr:rowOff>
        </xdr:from>
        <xdr:to>
          <xdr:col>0</xdr:col>
          <xdr:colOff>409575</xdr:colOff>
          <xdr:row>5</xdr:row>
          <xdr:rowOff>28575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4</xdr:row>
          <xdr:rowOff>228600</xdr:rowOff>
        </xdr:from>
        <xdr:to>
          <xdr:col>0</xdr:col>
          <xdr:colOff>409575</xdr:colOff>
          <xdr:row>6</xdr:row>
          <xdr:rowOff>28575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5</xdr:row>
          <xdr:rowOff>228600</xdr:rowOff>
        </xdr:from>
        <xdr:to>
          <xdr:col>0</xdr:col>
          <xdr:colOff>409575</xdr:colOff>
          <xdr:row>7</xdr:row>
          <xdr:rowOff>28575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6</xdr:row>
          <xdr:rowOff>228600</xdr:rowOff>
        </xdr:from>
        <xdr:to>
          <xdr:col>0</xdr:col>
          <xdr:colOff>409575</xdr:colOff>
          <xdr:row>8</xdr:row>
          <xdr:rowOff>28575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8</xdr:row>
          <xdr:rowOff>9525</xdr:rowOff>
        </xdr:from>
        <xdr:to>
          <xdr:col>0</xdr:col>
          <xdr:colOff>409575</xdr:colOff>
          <xdr:row>9</xdr:row>
          <xdr:rowOff>38100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9525</xdr:rowOff>
        </xdr:from>
        <xdr:to>
          <xdr:col>0</xdr:col>
          <xdr:colOff>409575</xdr:colOff>
          <xdr:row>10</xdr:row>
          <xdr:rowOff>38100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9</xdr:row>
          <xdr:rowOff>238125</xdr:rowOff>
        </xdr:from>
        <xdr:to>
          <xdr:col>0</xdr:col>
          <xdr:colOff>409575</xdr:colOff>
          <xdr:row>11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14</xdr:row>
          <xdr:rowOff>28575</xdr:rowOff>
        </xdr:from>
        <xdr:to>
          <xdr:col>0</xdr:col>
          <xdr:colOff>409575</xdr:colOff>
          <xdr:row>15</xdr:row>
          <xdr:rowOff>47625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15</xdr:row>
          <xdr:rowOff>9525</xdr:rowOff>
        </xdr:from>
        <xdr:to>
          <xdr:col>0</xdr:col>
          <xdr:colOff>409575</xdr:colOff>
          <xdr:row>16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16</xdr:row>
          <xdr:rowOff>28575</xdr:rowOff>
        </xdr:from>
        <xdr:to>
          <xdr:col>0</xdr:col>
          <xdr:colOff>409575</xdr:colOff>
          <xdr:row>17</xdr:row>
          <xdr:rowOff>47625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28575</xdr:rowOff>
        </xdr:from>
        <xdr:to>
          <xdr:col>0</xdr:col>
          <xdr:colOff>409575</xdr:colOff>
          <xdr:row>21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20</xdr:row>
          <xdr:rowOff>238125</xdr:rowOff>
        </xdr:from>
        <xdr:to>
          <xdr:col>0</xdr:col>
          <xdr:colOff>409575</xdr:colOff>
          <xdr:row>22</xdr:row>
          <xdr:rowOff>28575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26</xdr:row>
          <xdr:rowOff>228600</xdr:rowOff>
        </xdr:from>
        <xdr:to>
          <xdr:col>0</xdr:col>
          <xdr:colOff>409575</xdr:colOff>
          <xdr:row>27</xdr:row>
          <xdr:rowOff>228600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1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29</xdr:row>
          <xdr:rowOff>228600</xdr:rowOff>
        </xdr:from>
        <xdr:to>
          <xdr:col>0</xdr:col>
          <xdr:colOff>409575</xdr:colOff>
          <xdr:row>31</xdr:row>
          <xdr:rowOff>28575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1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30</xdr:row>
          <xdr:rowOff>228600</xdr:rowOff>
        </xdr:from>
        <xdr:to>
          <xdr:col>0</xdr:col>
          <xdr:colOff>409575</xdr:colOff>
          <xdr:row>32</xdr:row>
          <xdr:rowOff>28575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1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27</xdr:row>
          <xdr:rowOff>228600</xdr:rowOff>
        </xdr:from>
        <xdr:to>
          <xdr:col>0</xdr:col>
          <xdr:colOff>409575</xdr:colOff>
          <xdr:row>29</xdr:row>
          <xdr:rowOff>28575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1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497205</xdr:colOff>
      <xdr:row>35</xdr:row>
      <xdr:rowOff>9525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89FB0B3A-A511-48CC-8A0A-B2E772317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7405" cy="701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verest, Neil" id="{84C78631-C105-4873-A847-7AD1ADF61028}" userId="S::Neil.Everest@aegon.com::7abe4f5f-2529-4917-872c-a7c627cd255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3-26T16:01:00.98" personId="{84C78631-C105-4873-A847-7AD1ADF61028}" id="{90028B18-44D2-4204-9ED5-622CF192F4E6}">
    <text>General Question to add. 
Are the documents in the standard templates and diagrams following ArchiMate?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Users/bowilloughby/Aegon/SitePages/GTS-Reference-Architectures.aspx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../../../Users/bowilloughby/GTS-ARB/Lists/ARBCalendar/NewForm.aspx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../../../Users/bowilloughby/Aegon/SitePages/GTS-Component-Architecture-Standards.aspx" TargetMode="External"/><Relationship Id="rId12" Type="http://schemas.openxmlformats.org/officeDocument/2006/relationships/hyperlink" Target="https://forms.office.com/pages/responsepage.aspx?id=NWjhRgTI3kG-PFWDXRTe5EAWEg2cKC9AoCnuY8DJJdxUQkdUV01FWlVNMURKR0s4UUlCMFE5UTJWVCQlQCN0PWcu" TargetMode="External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../../../Users/bowilloughby/GTS-ARB/Lists/ARBCalendar/NewForm.aspx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../../../Users/bowilloughby/Aegon/SitePages/Architecture-Exceptions.aspx" TargetMode="External"/><Relationship Id="rId6" Type="http://schemas.openxmlformats.org/officeDocument/2006/relationships/hyperlink" Target="../../../Users/bowilloughby/Aegon/SitePages/Project-Solutions.aspx" TargetMode="External"/><Relationship Id="rId11" Type="http://schemas.openxmlformats.org/officeDocument/2006/relationships/hyperlink" Target="https://forms.office.com/pages/responsepage.aspx?id=NWjhRgTI3kG-PFWDXRTe5EAWEg2cKC9AoCnuY8DJJdxUOFNJNkUxWkY4OTNRQVQ2WUVQWFRZMVRaNiQlQCN0PWcu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../../../Users/Forms/AllItems.aspx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../../../Users/bowilloughby/Aegon/SitePages/Proof-of-Concepts.aspx" TargetMode="External"/><Relationship Id="rId19" Type="http://schemas.openxmlformats.org/officeDocument/2006/relationships/ctrlProp" Target="../ctrlProps/ctrlProp5.xml"/><Relationship Id="rId31" Type="http://schemas.openxmlformats.org/officeDocument/2006/relationships/ctrlProp" Target="../ctrlProps/ctrlProp17.xml"/><Relationship Id="rId4" Type="http://schemas.openxmlformats.org/officeDocument/2006/relationships/hyperlink" Target="../../../Users/bowilloughby/Aegon/GTS%20Global%20Engineering%20&amp;%20Architecture%20(GEA)%20-%20GTS%20ARB%20Templates/Forms/AllItems.aspx" TargetMode="External"/><Relationship Id="rId9" Type="http://schemas.openxmlformats.org/officeDocument/2006/relationships/hyperlink" Target="../../../Users/bowilloughby/Aegon/SitePages/Architectural-Patterns.aspx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aegon.sharepoint.com/sites/TA-GTSTechnicalRiskAssessmentTool/RiskReviews/SitePages/Home.aspx" TargetMode="External"/><Relationship Id="rId7" Type="http://schemas.openxmlformats.org/officeDocument/2006/relationships/hyperlink" Target="https://aegon.sharepoint.com/sites/GTS-GlobalAIInventory-GTS-GenAI/Lists/Global%20AI%20Inventory%20%20GTS/AllItems.aspx" TargetMode="External"/><Relationship Id="rId2" Type="http://schemas.openxmlformats.org/officeDocument/2006/relationships/hyperlink" Target="../../:x:/r/sites/ASKAegonServiceKnowledge/_layouts/15/Doc.aspx?sourcedoc=%7B3B28A57E-5F90-458B-AC02-A4D333BFAE57%7D&amp;file=Schedule%202%20Global%20SLAs%20-%20maintenance%20windows%20-%20priority%20matrix.xlsx&amp;action=default&amp;mobileredirect=true" TargetMode="External"/><Relationship Id="rId1" Type="http://schemas.openxmlformats.org/officeDocument/2006/relationships/hyperlink" Target="SitePages/Architecture-Principles.aspx" TargetMode="External"/><Relationship Id="rId6" Type="http://schemas.openxmlformats.org/officeDocument/2006/relationships/hyperlink" Target="../../:p:/r/sites/GTS-ARB/Shared%20Documents/ARB%20Charter%20%26%20Process%20Overview/GTS%20ARB%20Charter.pptx?d=wb8a03b176b91436aa75d23457e7d24d7&amp;csf=1&amp;web=1&amp;e=hXyVOg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aegon.service-now.com/nav_to.do?uri=%2Fcmdb_ci_business_app_list.do%3Fsysparm_query%3Doperational_status!%3D7%26sysparm_first_row%3D1%26sysparm_view%3Dbusiness_applications" TargetMode="External"/><Relationship Id="rId10" Type="http://schemas.openxmlformats.org/officeDocument/2006/relationships/comments" Target="../comments1.xml"/><Relationship Id="rId4" Type="http://schemas.openxmlformats.org/officeDocument/2006/relationships/hyperlink" Target="SitePages/Architecture-Exceptions.aspx" TargetMode="External"/><Relationship Id="rId9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now/nav/ui/classic/params/target/cmdb_ci_business_app_list.do" TargetMode="External"/><Relationship Id="rId13" Type="http://schemas.openxmlformats.org/officeDocument/2006/relationships/hyperlink" Target="../../GTS-GlobalARB/Lists/Aegon%20Global%20ARB%20Calendar%20and%20Decisions/DispForm.aspx?ID=60&amp;e=re92E3" TargetMode="External"/><Relationship Id="rId18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26" Type="http://schemas.openxmlformats.org/officeDocument/2006/relationships/hyperlink" Target="https://aegonna.sharepoint.com/:w:/r/sites/GTS-GlobalARB/Aegon%20Global%20Architecture%20Policies%20and%20Standards/Global%20Enterprise%20Architecture%20Metamodel%20Guidance.docx?d=w9bfb1f296d0142d89c35e70f1ef9a6da&amp;csf=1&amp;web=1&amp;e=W0CUsA" TargetMode="External"/><Relationship Id="rId3" Type="http://schemas.openxmlformats.org/officeDocument/2006/relationships/hyperlink" Target="https://aegonna.sharepoint.com/:p:/r/sites/GTS-GlobalARB/Aegon%20Global%20Architecture%20Policies%20and%20Standards/Global%20Free%20%26%20Open%20Source%20Software%20(FOSS)%20Guidance.pptx?d=wae7a5ae2dee6431bb2dc41f5f2e2b6b9&amp;csf=1&amp;web=1&amp;e=Llc0HN" TargetMode="External"/><Relationship Id="rId21" Type="http://schemas.openxmlformats.org/officeDocument/2006/relationships/hyperlink" Target="../../GTS-GlobalARB/SitePages/Aegon-Global-Architecture-Principles.aspx?csf=1&amp;web=1&amp;e=qScbqN" TargetMode="External"/><Relationship Id="rId34" Type="http://schemas.openxmlformats.org/officeDocument/2006/relationships/hyperlink" Target="https://daca.us.aegon.com/" TargetMode="External"/><Relationship Id="rId7" Type="http://schemas.openxmlformats.org/officeDocument/2006/relationships/hyperlink" Target="../../../:w:/r/sites/GTS-GlobalARB/Aegon%20Global%20Architecture%20Policies%20and%20Standards/Global%20Enterprise%20Architecture%20Metamodel%20Guidance.docx?d=w9bfb1f296d0142d89c35e70f1ef9a6da&amp;csf=1&amp;web=1&amp;e=W0CUsA" TargetMode="External"/><Relationship Id="rId12" Type="http://schemas.openxmlformats.org/officeDocument/2006/relationships/hyperlink" Target="../../GTS-GlobalARB/Lists/Aegon%20Global%20ARB%20Calendar%20and%20Decisions/DispForm.aspx?ID=61&amp;e=FC2qCV" TargetMode="External"/><Relationship Id="rId17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25" Type="http://schemas.openxmlformats.org/officeDocument/2006/relationships/hyperlink" Target="https://aegonna.sharepoint.com/:w:/r/sites/GTS-GlobalARB/Aegon%20Global%20Architecture%20Policies%20and%20Standards/Global%20Resource%20Tagging%20Standard.docx?d=w2d1b853fcbfe4e6cbf13d55a50fdaeb2&amp;csf=1&amp;web=1&amp;e=j7C6HU" TargetMode="External"/><Relationship Id="rId33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38" Type="http://schemas.openxmlformats.org/officeDocument/2006/relationships/printerSettings" Target="../printerSettings/printerSettings2.bin"/><Relationship Id="rId2" Type="http://schemas.openxmlformats.org/officeDocument/2006/relationships/hyperlink" Target="https://learn.microsoft.com/en-us/azure/well-architected/" TargetMode="External"/><Relationship Id="rId16" Type="http://schemas.openxmlformats.org/officeDocument/2006/relationships/hyperlink" Target="https://aegon.sharepoint.com/sites/CC-PolicyHouseGroup-10099/Shared%20Documents/Software%20Development%20Lifecycle%20Standard.pdf" TargetMode="External"/><Relationship Id="rId20" Type="http://schemas.openxmlformats.org/officeDocument/2006/relationships/hyperlink" Target="https://aegonna.sharepoint.com/:w:/r/sites/GTS-GlobalARB/_layouts/15/Doc.aspx?sourcedoc=%7BDE694E79-B787-4BF8-B39D-C8B841FCA44E%7D&amp;file=Global%20Workload%20Placement%20Guidance.docx&amp;action=default&amp;mobileredirect=true" TargetMode="External"/><Relationship Id="rId29" Type="http://schemas.openxmlformats.org/officeDocument/2006/relationships/hyperlink" Target="https://aws.amazon.com/architecture/well-architected/" TargetMode="External"/><Relationship Id="rId1" Type="http://schemas.openxmlformats.org/officeDocument/2006/relationships/hyperlink" Target="../../GTS-GlobalARB/SitePages/Aegon-Global-Architecture-Principles.aspx?csf=1&amp;web=1&amp;e=qScbqN" TargetMode="External"/><Relationship Id="rId6" Type="http://schemas.openxmlformats.org/officeDocument/2006/relationships/hyperlink" Target="https://aegonna.sharepoint.com/:x:/r/sites/TA-ProjectMethodology/_layouts/15/Doc.aspx?sourcedoc=%7BB2A86D3C-C120-4C87-9F1D-1591EEE31E5F%7D&amp;file=SDLC%202.0%20Checklist%20and%20RACI.xlsx&amp;action=default&amp;mobileredirect=true" TargetMode="External"/><Relationship Id="rId11" Type="http://schemas.openxmlformats.org/officeDocument/2006/relationships/hyperlink" Target="../../../:w:/r/sites/GTS-GlobalARB/Aegon%20Global%20Architecture%20Policies%20and%20Standards/Global%20Resource%20Tagging%20Standard.docx?d=w2d1b853fcbfe4e6cbf13d55a50fdaeb2&amp;csf=1&amp;web=1&amp;e=j7C6HU" TargetMode="External"/><Relationship Id="rId24" Type="http://schemas.openxmlformats.org/officeDocument/2006/relationships/hyperlink" Target="https://aegonna.sharepoint.com/:x:/r/sites/GEA/Templates/In%20Review/Architecture%20Resiliency%20Tier%20%26%20Design%20Criteria%20Assessment.xlsx?d=wdd5b89f510324f1f8e413e7b59c78c29&amp;csf=1&amp;web=1&amp;e=KsRIX9" TargetMode="External"/><Relationship Id="rId32" Type="http://schemas.openxmlformats.org/officeDocument/2006/relationships/hyperlink" Target="https://aegon.sharepoint.com/sites/CC-PolicyHouseGroup-10099/Shared%20Documents/Software%20Development%20Lifecycle%20Standard.pdf" TargetMode="External"/><Relationship Id="rId37" Type="http://schemas.openxmlformats.org/officeDocument/2006/relationships/hyperlink" Target="https://aws.amazon.com/architecture/well-architected/" TargetMode="External"/><Relationship Id="rId5" Type="http://schemas.openxmlformats.org/officeDocument/2006/relationships/hyperlink" Target="../../../:p:/r/sites/GEA/Templates/In%20Review/2026%20Enterprise%20Technology%20ARB%20Charter%20%26%20Architecture%20Processes%20Overview.pptx?d=w751dcb168e6d4cc5bd0a17ac94837e7c&amp;csf=1&amp;web=1&amp;e=AM6hRW" TargetMode="External"/><Relationship Id="rId15" Type="http://schemas.openxmlformats.org/officeDocument/2006/relationships/hyperlink" Target="https://aegonna.sharepoint.com/:p:/r/sites/GTS-GlobalARB/Aegon%20Global%20Architecture%20Policies%20and%20Standards/Global%20Resiliency%20Tiers%20and%20Design%20Guidance.pptx?d=w0670e2b0a05a42e98a99d6b0ee3d5a1b&amp;csf=1&amp;web=1&amp;e=Bsj0ee" TargetMode="External"/><Relationship Id="rId23" Type="http://schemas.openxmlformats.org/officeDocument/2006/relationships/hyperlink" Target="https://aegonna.sharepoint.com/:w:/r/sites/GTS-GlobalARB/Aegon%20Global%20Architecture%20Policies%20and%20Standards/Global%20Logging,%20Monitoring,%20Observability%20%26%20Alerting%20Guidance.docx?d=w7489c70f511f4ad3a0705b1da976f51f&amp;csf=1&amp;web=1&amp;e=fnstw3" TargetMode="External"/><Relationship Id="rId28" Type="http://schemas.openxmlformats.org/officeDocument/2006/relationships/hyperlink" Target="https://aegon.service-now.com/now/nav/ui/classic/params/target/cmdb_ci_business_app_list.do" TargetMode="External"/><Relationship Id="rId36" Type="http://schemas.openxmlformats.org/officeDocument/2006/relationships/hyperlink" Target="https://learn.microsoft.com/en-us/azure/well-architected/" TargetMode="External"/><Relationship Id="rId10" Type="http://schemas.openxmlformats.org/officeDocument/2006/relationships/hyperlink" Target="../SitePages/Architecture-Documents.aspx" TargetMode="External"/><Relationship Id="rId19" Type="http://schemas.openxmlformats.org/officeDocument/2006/relationships/hyperlink" Target="https://aegonna.sharepoint.com/:p:/r/sites/GEA/_layouts/15/Doc.aspx?sourcedoc=%7B751DCB16-8E6D-4CC5-BD0A-17AC94837E7C%7D&amp;file=2026%20Enterprise%20Technology%20ARB%20Charter%20&amp;%20Architecture%20Processes%20Overview.pptx=&amp;action=edit&amp;mobileredirect=true" TargetMode="External"/><Relationship Id="rId31" Type="http://schemas.openxmlformats.org/officeDocument/2006/relationships/hyperlink" Target="../../GTS-GlobalARB/SitePages/Global-Architecture-Repository.aspx" TargetMode="External"/><Relationship Id="rId4" Type="http://schemas.openxmlformats.org/officeDocument/2006/relationships/hyperlink" Target="https://aegonna.sharepoint.com/:p:/r/sites/GEA/Templates/In%20Review/2026%20Enterprise%20Technology%20ARB%20Charter%20%26%20Architecture%20Processes%20Overview.pptx?d=w751dcb168e6d4cc5bd0a17ac94837e7c&amp;csf=1&amp;web=1&amp;e=AM6hRW" TargetMode="External"/><Relationship Id="rId9" Type="http://schemas.openxmlformats.org/officeDocument/2006/relationships/hyperlink" Target="../../GTS-GlobalARB/SitePages/Global-Architecture-Repository.aspx" TargetMode="External"/><Relationship Id="rId14" Type="http://schemas.openxmlformats.org/officeDocument/2006/relationships/hyperlink" Target="https://aegonna.sharepoint.com/:x:/r/sites/GEA/Templates/Architecture%20Resiliency%20Tier%20%26%20Design%20Criteria%20Assessment.xlsx?d=wdd5b89f510324f1f8e413e7b59c78c29&amp;csf=1&amp;web=1&amp;e=KsRIX9" TargetMode="External"/><Relationship Id="rId22" Type="http://schemas.openxmlformats.org/officeDocument/2006/relationships/hyperlink" Target="https://aegonna.sharepoint.com/:p:/r/sites/GTS-GlobalARB/_layouts/15/Doc.aspx?sourcedoc=%7BAE7A5AE2-DEE6-431B-B2DC-41F5F2E2B6B9%7D&amp;file=Global%20Free%20&amp;%20Open%20Source%20Software%20(FOSS)%20Guidance.pptx=&amp;action=edit&amp;mobileredirect=true" TargetMode="External"/><Relationship Id="rId27" Type="http://schemas.openxmlformats.org/officeDocument/2006/relationships/hyperlink" Target="../SitePages/Architecture-Documents.aspx" TargetMode="External"/><Relationship Id="rId30" Type="http://schemas.openxmlformats.org/officeDocument/2006/relationships/hyperlink" Target="https://aegonna.sharepoint.com/:p:/s/GEA/cQr7F2hx5WGuQ7YvZOjTlEATEgUAegZ3q5TiBVPlY7cEx_fJkw" TargetMode="External"/><Relationship Id="rId35" Type="http://schemas.openxmlformats.org/officeDocument/2006/relationships/hyperlink" Target="https://aegonna.sharepoint.com/:p:/s/GEA/cQr7F2hx5WGuQ7YvZOjTlEATEgUAegZ3q5TiBVPlY7cEx_fJkw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../:w:/r/sites/TechnologySharedPlatform/Public/One%20Platform%20Services/8.%20Non-Repudiation%20Service/Oneplatform%20Non-Repudiation%20Logging%20User%20Guide%20V2.docx?d=w14b65ff341894f4b991fa4484b3a3b67&amp;csf=1&amp;web=1&amp;e=cYYEKX" TargetMode="External"/><Relationship Id="rId7" Type="http://schemas.openxmlformats.org/officeDocument/2006/relationships/hyperlink" Target="../../../:w:/r/sites/TechnologySharedPlatform/Public/One%20Platform%20Services/5.%20Data%20Encryption%20Service/Data%20Encryption%20Service%20User%20Guide%20v3.docx?d=wd1c5e8ea80454db995c9db5c47d69ba9&amp;csf=1&amp;web=1&amp;e=9cXkVf" TargetMode="External"/><Relationship Id="rId2" Type="http://schemas.openxmlformats.org/officeDocument/2006/relationships/hyperlink" Target="../../../:w:/r/sites/TechnologySharedPlatform/Public/One%20Platform%20Services/7.%20File%20Service/User%20Guide.docx?d=wf54f72207c4348daab25f4d502df0be9&amp;csf=1&amp;web=1&amp;e=lJKh6e" TargetMode="External"/><Relationship Id="rId1" Type="http://schemas.openxmlformats.org/officeDocument/2006/relationships/hyperlink" Target="../../../:w:/r/sites/TechnologySharedPlatform/Public/One%20Platform%20Services/1.%20Audit%20Service/Oneplatform%20Audit%20Logging%20User%20Guide%20V4.docx?d=wce3b218e963f4448820c3d46c76a1c2a&amp;csf=1&amp;web=1&amp;e=fYLivM" TargetMode="External"/><Relationship Id="rId6" Type="http://schemas.openxmlformats.org/officeDocument/2006/relationships/hyperlink" Target="../../../:w:/r/sites/TechnologySharedPlatform/Public/One%20Platform%20Services/2.%20Authorization%20Service/ONE_PLATFORM_USER_AUTHORIZATION_SERVICE_USER_GUIDE.docx?d=wa20e16d56d1e462ea7d7b59ba5d38d5e&amp;csf=1&amp;web=1&amp;e=QuVaGP" TargetMode="External"/><Relationship Id="rId5" Type="http://schemas.openxmlformats.org/officeDocument/2006/relationships/hyperlink" Target="../../../:w:/r/sites/TechnologySharedPlatform/Public/One%20Platform%20Services/6.%20Event%20Notification%20Service/Event%20Notification%20Service%20User%20Guide%20v4.docx?d=we313efda14c34f17a43b2511200ac518&amp;csf=1&amp;web=1&amp;e=8bSIjO" TargetMode="External"/><Relationship Id="rId4" Type="http://schemas.openxmlformats.org/officeDocument/2006/relationships/hyperlink" Target="../../../:w:/r/sites/TechnologySharedPlatform/Public/One%20Platform%20Services/9.%20User%20Notification%20Service/User%20Notification%20Guide.docx?d=we557168aa9154789b15cd99896fa1cdd&amp;csf=1&amp;web=1&amp;e=LZwik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egonna.sharepoint.com/:b:/r/sites/TA-TAInformationSecurityPoliciesandStandards/Public/Transamerica%20Encryption%20Standards.pdf?csf=1&amp;web=1&amp;e=ehl5EJ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egon.service-now.com/asp?id=sc_cat_item&amp;sys_id=c2b0c6e7870d7e146a54646e8bbb354f" TargetMode="External"/><Relationship Id="rId13" Type="http://schemas.openxmlformats.org/officeDocument/2006/relationships/hyperlink" Target="../../GTS-GTSRiskReviewAssessment/Lists/Risk%20Catalog/AddRiskDescriptions.aspx" TargetMode="External"/><Relationship Id="rId18" Type="http://schemas.openxmlformats.org/officeDocument/2006/relationships/hyperlink" Target="https://aegon.service-now.com/asp?id=sc_cat_item&amp;sys_id=21b08b8a83e2ce50282ad2126daad3fd" TargetMode="External"/><Relationship Id="rId3" Type="http://schemas.openxmlformats.org/officeDocument/2006/relationships/hyperlink" Target="../../GTS-ARB/Lists/ARBCalendar/AllItems.aspx?viewid=6019d665%2D41a9%2D4d54%2D8568%2Dd1825abe827b" TargetMode="External"/><Relationship Id="rId21" Type="http://schemas.openxmlformats.org/officeDocument/2006/relationships/hyperlink" Target="../../GTS-GlobalEngineeringandArchitecture/Shared%20Documents/GTS%20Architecture%20Documents/Intake%20Process/GenAI%20Documentation/LLM%20IMPACT%20ASSESSMENT.docx" TargetMode="External"/><Relationship Id="rId7" Type="http://schemas.openxmlformats.org/officeDocument/2006/relationships/hyperlink" Target="https://aegon.service-now.com/$viewer.do?sysparm_stack=no&amp;sysparm_sys_id=664481952b5a3e986665fa2ece91bf27" TargetMode="External"/><Relationship Id="rId12" Type="http://schemas.openxmlformats.org/officeDocument/2006/relationships/hyperlink" Target="https://trana.sirioncloud.com/ux/login/" TargetMode="External"/><Relationship Id="rId17" Type="http://schemas.openxmlformats.org/officeDocument/2006/relationships/hyperlink" Target="../../GTS-GlobalARB/Lists/Aegon%20Global%20ARB%20Calendar%20and%20Decisions/DispForm.aspx?ID=24&amp;e=SaQhKt" TargetMode="External"/><Relationship Id="rId2" Type="http://schemas.openxmlformats.org/officeDocument/2006/relationships/hyperlink" Target="https://app-de.onetrust.com/auth/login" TargetMode="External"/><Relationship Id="rId16" Type="http://schemas.openxmlformats.org/officeDocument/2006/relationships/hyperlink" Target="../../GTS-GlobalARB/Lists/Aegon%20Global%20ARB%20Calendar%20and%20Decisions/DispForm.aspx?ID=60&amp;e=re92E3" TargetMode="External"/><Relationship Id="rId20" Type="http://schemas.openxmlformats.org/officeDocument/2006/relationships/hyperlink" Target="https://aegon.sharepoint.com/sites/GTS-GlobalAIInventory-GTS-GenAI/Lists/Global%20AI%20Inventory%20%20GTS/AllItems.aspx" TargetMode="External"/><Relationship Id="rId1" Type="http://schemas.openxmlformats.org/officeDocument/2006/relationships/hyperlink" Target="https://aegon.sharepoint.com/sites/TA-GTSTechnicalRiskAssessmentTool/RiskReviews/SitePages/Home.aspx" TargetMode="External"/><Relationship Id="rId6" Type="http://schemas.openxmlformats.org/officeDocument/2006/relationships/hyperlink" Target="https://aegon.service-now.com/$viewer.do?sysparm_stack=no&amp;sysparm_sys_id=b24405952b5a3e986665fa2ece91bf75" TargetMode="External"/><Relationship Id="rId11" Type="http://schemas.openxmlformats.org/officeDocument/2006/relationships/hyperlink" Target="../../../:p:/r/sites/GTS-GlobalARB/Aegon%20Global%20Architecture%20Policies%20and%20Standards/Global%20Resiliency%20Tiers%20and%20Design%20Guidance.pptx?d=w0670e2b0a05a42e98a99d6b0ee3d5a1b&amp;csf=1&amp;web=1&amp;e=yuju0H" TargetMode="External"/><Relationship Id="rId5" Type="http://schemas.openxmlformats.org/officeDocument/2006/relationships/hyperlink" Target="https://aegon.service-now.com/kb?sys_kb_id=4a4481592b5a7254c449f892c891bfcf&amp;id=kb_article_view&amp;sysparm_rank=2&amp;sysparm_tsqueryId=43e4899133563290692689b32d5c7b18" TargetMode="External"/><Relationship Id="rId15" Type="http://schemas.openxmlformats.org/officeDocument/2006/relationships/hyperlink" Target="../../GTS-GlobalARB/Lists/Aegon%20Global%20ARB%20Calendar%20and%20Decisions/DispForm.aspx?ID=67&amp;e=aFEmdQ" TargetMode="External"/><Relationship Id="rId23" Type="http://schemas.openxmlformats.org/officeDocument/2006/relationships/hyperlink" Target="../../GTS-ICC/Intranet/ITCF/Shared%20Documents/Forms/AllItems.aspx?viewid=99189f90%2Df2b0%2D478b%2Da980%2Df93a529e9b18&amp;csf=1&amp;web=1&amp;e=ynwV5S&amp;cid=1d30cfce%2D9d35%2D4ff2%2D94fc%2D37f47f6b4ebf&amp;FolderCTID=0x012000E035F8AFB69860479F9EADAF3C29FAC1" TargetMode="External"/><Relationship Id="rId10" Type="http://schemas.openxmlformats.org/officeDocument/2006/relationships/hyperlink" Target="../../GTS-GlobalARB/Lists/Aegon%20Global%20ARB%20Calendar%20and%20Decisions/DispForm.aspx?ID=59&amp;e=3nbSH6" TargetMode="External"/><Relationship Id="rId19" Type="http://schemas.openxmlformats.org/officeDocument/2006/relationships/hyperlink" Target="https://aegon.sharepoint.com/:b:/r/sites/CC-PolicyHouseGroup-10099/Shared%20Documents/Generative%20AI%20Policy.pdf?csf=1&amp;web=1&amp;e=ER9yPo" TargetMode="External"/><Relationship Id="rId4" Type="http://schemas.openxmlformats.org/officeDocument/2006/relationships/hyperlink" Target="../../GTS-GTSRiskReviewAssessment/Lists/Technology%20Risk%20Reviews/All%20Columns.aspx?ovuser=46e16835%2Dc804%2D41de%2Dbe3c%2D55835d14dee4%2Cbobby%2Ewilloughby%40transamerica%2Ecom&amp;OR=Teams%2DHL&amp;CT=1767715083129&amp;clickparams=eyJBcHBOYW1lIjoiVGVhbXMtRGVza3RvcCIsIkFwcFZlcnNpb24iOiI0OS8yNTExMzAwMTMxMiIsIkhhc0ZlZGVyYXRlZFVzZXIiOmZhbHNlfQ%3D%3D" TargetMode="External"/><Relationship Id="rId9" Type="http://schemas.openxmlformats.org/officeDocument/2006/relationships/hyperlink" Target="../../../:w:/r/sites/GTS-GlobalARB/_layouts/15/Doc.aspx?sourcedoc=%7B03B60FDC-4B16-44EE-8A5F-D005D452ACAE%7D&amp;file=Global%20Enterprise%20Architecture%20Charter.docx&amp;action=default&amp;mobileredirect=true" TargetMode="External"/><Relationship Id="rId14" Type="http://schemas.openxmlformats.org/officeDocument/2006/relationships/hyperlink" Target="../../TA-IntegratedITControlsAssessment" TargetMode="External"/><Relationship Id="rId22" Type="http://schemas.openxmlformats.org/officeDocument/2006/relationships/hyperlink" Target="../../../:b:/r/sites/TA-TAInformationSecurityPoliciesandStandards/Public/Transamerica%20Encryption%20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4B77-B441-4854-8871-626380B012E1}">
  <dimension ref="A1:C5"/>
  <sheetViews>
    <sheetView workbookViewId="0">
      <selection activeCell="C7" sqref="C7"/>
    </sheetView>
  </sheetViews>
  <sheetFormatPr defaultColWidth="8.875" defaultRowHeight="15.75"/>
  <cols>
    <col min="1" max="1" width="15.125" style="43" customWidth="1"/>
    <col min="2" max="2" width="24.375" customWidth="1"/>
    <col min="3" max="3" width="94.625" bestFit="1" customWidth="1"/>
  </cols>
  <sheetData>
    <row r="1" spans="1:3">
      <c r="A1" s="42" t="s">
        <v>100</v>
      </c>
      <c r="B1" s="41" t="s">
        <v>101</v>
      </c>
      <c r="C1" s="41" t="s">
        <v>102</v>
      </c>
    </row>
    <row r="2" spans="1:3">
      <c r="A2" s="43">
        <v>45590</v>
      </c>
      <c r="B2" t="s">
        <v>103</v>
      </c>
      <c r="C2" t="s">
        <v>105</v>
      </c>
    </row>
    <row r="3" spans="1:3">
      <c r="A3" s="43">
        <v>45604</v>
      </c>
      <c r="B3" t="s">
        <v>103</v>
      </c>
      <c r="C3" t="s">
        <v>104</v>
      </c>
    </row>
    <row r="4" spans="1:3">
      <c r="A4" s="43">
        <v>45604</v>
      </c>
      <c r="B4" t="s">
        <v>103</v>
      </c>
      <c r="C4" t="s">
        <v>106</v>
      </c>
    </row>
    <row r="5" spans="1:3">
      <c r="A5" s="43">
        <v>45819</v>
      </c>
      <c r="B5" t="s">
        <v>103</v>
      </c>
      <c r="C5" t="s">
        <v>135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62D-F45D-4FFF-9488-FB4C67EC4BEA}">
  <dimension ref="B1:V32"/>
  <sheetViews>
    <sheetView workbookViewId="0">
      <selection activeCell="J42" sqref="J42"/>
    </sheetView>
  </sheetViews>
  <sheetFormatPr defaultColWidth="8.875" defaultRowHeight="15.75"/>
  <cols>
    <col min="12" max="12" width="31.125" customWidth="1"/>
  </cols>
  <sheetData>
    <row r="1" spans="2:22" ht="18.75">
      <c r="B1" s="166" t="s">
        <v>70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</row>
    <row r="2" spans="2:22" ht="18.75"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</row>
    <row r="3" spans="2:22" ht="18.75">
      <c r="B3" s="168" t="s">
        <v>71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</row>
    <row r="4" spans="2:22" ht="18.75">
      <c r="B4" s="169" t="s">
        <v>72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</row>
    <row r="5" spans="2:22" ht="18.75">
      <c r="B5" s="169" t="s">
        <v>73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</row>
    <row r="6" spans="2:22" ht="18.75">
      <c r="B6" s="170" t="s">
        <v>74</v>
      </c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</row>
    <row r="7" spans="2:22" ht="18.75">
      <c r="B7" s="170" t="s">
        <v>75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</row>
    <row r="8" spans="2:22" ht="18.75">
      <c r="B8" s="169" t="s">
        <v>76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</row>
    <row r="9" spans="2:22" ht="18.75">
      <c r="B9" s="170" t="s">
        <v>77</v>
      </c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</row>
    <row r="10" spans="2:22" ht="18.75">
      <c r="B10" s="169" t="s">
        <v>78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</row>
    <row r="11" spans="2:22" ht="18.75">
      <c r="B11" s="170" t="s">
        <v>79</v>
      </c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</row>
    <row r="12" spans="2:22" ht="18.75">
      <c r="B12" s="165" t="s">
        <v>80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</row>
    <row r="13" spans="2:22" ht="18.75">
      <c r="B13" s="165" t="s">
        <v>81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</row>
    <row r="14" spans="2:22" ht="18.75">
      <c r="B14" s="173" t="s">
        <v>82</v>
      </c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</row>
    <row r="15" spans="2:22" ht="18.75">
      <c r="B15" s="170" t="s">
        <v>83</v>
      </c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</row>
    <row r="16" spans="2:22" ht="18.75">
      <c r="B16" s="170" t="s">
        <v>84</v>
      </c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</row>
    <row r="17" spans="2:22" ht="18.75">
      <c r="B17" s="170" t="s">
        <v>85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</row>
    <row r="18" spans="2:22"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</row>
    <row r="19" spans="2:22"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</row>
    <row r="20" spans="2:22" ht="18.75">
      <c r="B20" s="176" t="s">
        <v>86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</row>
    <row r="21" spans="2:22" ht="18.75">
      <c r="B21" s="177" t="s">
        <v>87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</row>
    <row r="22" spans="2:22" ht="18.75">
      <c r="B22" s="177" t="s">
        <v>88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</row>
    <row r="23" spans="2:22" ht="18.75">
      <c r="B23" s="172" t="s">
        <v>89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</row>
    <row r="24" spans="2:22" ht="18.75">
      <c r="B24" s="172" t="s">
        <v>90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</row>
    <row r="25" spans="2:22" ht="18.75">
      <c r="B25" s="172" t="s">
        <v>91</v>
      </c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</row>
    <row r="26" spans="2:22" ht="18.75">
      <c r="B26" s="172" t="s">
        <v>92</v>
      </c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</row>
    <row r="27" spans="2:22" ht="18.75">
      <c r="B27" s="172" t="s">
        <v>93</v>
      </c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</row>
    <row r="28" spans="2:22" ht="18.75">
      <c r="B28" s="177" t="s">
        <v>108</v>
      </c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</row>
    <row r="29" spans="2:22" ht="18.75">
      <c r="B29" s="177" t="s">
        <v>94</v>
      </c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</row>
    <row r="30" spans="2:22"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</row>
    <row r="31" spans="2:22">
      <c r="B31" s="39" t="s">
        <v>95</v>
      </c>
      <c r="M31" s="40" t="s">
        <v>96</v>
      </c>
    </row>
    <row r="32" spans="2:22">
      <c r="B32" s="39" t="s">
        <v>97</v>
      </c>
      <c r="M32" s="40" t="s">
        <v>98</v>
      </c>
    </row>
  </sheetData>
  <mergeCells count="30">
    <mergeCell ref="B25:V25"/>
    <mergeCell ref="B26:V26"/>
    <mergeCell ref="B27:V27"/>
    <mergeCell ref="B28:V28"/>
    <mergeCell ref="B30:V30"/>
    <mergeCell ref="B29:V29"/>
    <mergeCell ref="B24:V24"/>
    <mergeCell ref="B13:V13"/>
    <mergeCell ref="B14:V14"/>
    <mergeCell ref="B15:V15"/>
    <mergeCell ref="B16:V16"/>
    <mergeCell ref="B17:V17"/>
    <mergeCell ref="B18:V18"/>
    <mergeCell ref="B19:V19"/>
    <mergeCell ref="B20:V20"/>
    <mergeCell ref="B21:V21"/>
    <mergeCell ref="B22:V22"/>
    <mergeCell ref="B23:V23"/>
    <mergeCell ref="B12:V12"/>
    <mergeCell ref="B1:V1"/>
    <mergeCell ref="B2:V2"/>
    <mergeCell ref="B3:V3"/>
    <mergeCell ref="B4:V4"/>
    <mergeCell ref="B5:V5"/>
    <mergeCell ref="B6:V6"/>
    <mergeCell ref="B7:V7"/>
    <mergeCell ref="B8:V8"/>
    <mergeCell ref="B9:V9"/>
    <mergeCell ref="B10:V10"/>
    <mergeCell ref="B11:V11"/>
  </mergeCells>
  <hyperlinks>
    <hyperlink ref="B14" r:id="rId1" display="../SitePages/Architecture-Exceptions.aspx" xr:uid="{75E422A0-DE7E-47FF-8DFB-80E4D197005F}"/>
    <hyperlink ref="B10" r:id="rId2" display="../../GTS-ARB/Lists/ARBCalendar/NewForm.aspx?Source=https%3A%2F%2Faegonna.sharepoint.com%2Fsites%2FGTS-ARB%3FMode%3DEdit&amp;id=%2Fsites%2FGTS-ARB%2FLists%2FARBCalendar" xr:uid="{5C980F9D-DD1C-4FB3-92C3-15692057E475}"/>
    <hyperlink ref="B8" r:id="rId3" display="../../GTS-ARB/Lists/ARBCalendar/NewForm.aspx?Source=https%3A%2F%2Faegonna.sharepoint.com%2Fsites%2FGTS-ARB%3FMode%3DEdit&amp;id=%2Fsites%2FGTS-ARB%2FLists%2FARBCalendar" xr:uid="{23C5171B-82F9-4378-906D-3FCE4D4FCB7C}"/>
    <hyperlink ref="B5" r:id="rId4" display="Forms/AllItems.aspx" xr:uid="{5249D475-46CD-4926-B22D-1544C456ABF5}"/>
    <hyperlink ref="B4" r:id="rId5" display="https://aegon.sharepoint.com/sites/AGTSolutionDesignRepository/Shared Documents/Forms/AllItems.aspx" xr:uid="{C2169F1B-DCAE-4EFD-8DE6-5FF9B6916672}"/>
    <hyperlink ref="B23" r:id="rId6" display="../SitePages/Project-Solutions.aspx" xr:uid="{219B48D2-8353-451C-B07B-998F0BE38C12}"/>
    <hyperlink ref="B24" r:id="rId7" display="../SitePages/GTS-Component-Architecture-Standards.aspx" xr:uid="{403FCFB4-4C9A-4389-A13E-B30871CD52A5}"/>
    <hyperlink ref="B25" r:id="rId8" display="../SitePages/GTS-Reference-Architectures.aspx" xr:uid="{56E61182-44FC-4FCE-AB4D-F4CFF5B9412E}"/>
    <hyperlink ref="B26" r:id="rId9" display="../SitePages/Architectural-Patterns.aspx" xr:uid="{32D9F0FE-C739-44E7-BBC7-E7A5B5FD7342}"/>
    <hyperlink ref="B27" r:id="rId10" display="../SitePages/Proof-of-Concepts.aspx" xr:uid="{DF309820-C27F-42E0-B8BE-E99D36E9FCA2}"/>
    <hyperlink ref="M31" r:id="rId11" xr:uid="{5F8E1963-DF68-4B7E-ABF8-1B188E601216}"/>
    <hyperlink ref="M32" r:id="rId12" xr:uid="{9167C066-095D-4DAC-8E9F-502739E12246}"/>
  </hyperlinks>
  <pageMargins left="0.7" right="0.7" top="0.75" bottom="0.75" header="0.3" footer="0.3"/>
  <headerFooter>
    <oddFooter>&amp;C_x000D_&amp;1#&amp;"Aptos"&amp;10&amp;K000000 Internal</oddFooter>
  </headerFooter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15" name="Check Box 1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28575</xdr:rowOff>
                  </from>
                  <to>
                    <xdr:col>0</xdr:col>
                    <xdr:colOff>409575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16" name="Check Box 2">
              <controlPr defaultSize="0" autoFill="0" autoLine="0" autoPict="0">
                <anchor moveWithCells="1">
                  <from>
                    <xdr:col>0</xdr:col>
                    <xdr:colOff>161925</xdr:colOff>
                    <xdr:row>3</xdr:row>
                    <xdr:rowOff>238125</xdr:rowOff>
                  </from>
                  <to>
                    <xdr:col>0</xdr:col>
                    <xdr:colOff>409575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7" name="Check Box 3">
              <controlPr defaultSize="0" autoFill="0" autoLine="0" autoPict="0">
                <anchor moveWithCells="1">
                  <from>
                    <xdr:col>0</xdr:col>
                    <xdr:colOff>161925</xdr:colOff>
                    <xdr:row>4</xdr:row>
                    <xdr:rowOff>228600</xdr:rowOff>
                  </from>
                  <to>
                    <xdr:col>0</xdr:col>
                    <xdr:colOff>409575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18" name="Check Box 4">
              <controlPr defaultSize="0" autoFill="0" autoLine="0" autoPict="0">
                <anchor moveWithCells="1">
                  <from>
                    <xdr:col>0</xdr:col>
                    <xdr:colOff>161925</xdr:colOff>
                    <xdr:row>5</xdr:row>
                    <xdr:rowOff>228600</xdr:rowOff>
                  </from>
                  <to>
                    <xdr:col>0</xdr:col>
                    <xdr:colOff>409575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19" name="Check Box 5">
              <controlPr defaultSize="0" autoFill="0" autoLine="0" autoPict="0">
                <anchor moveWithCells="1">
                  <from>
                    <xdr:col>0</xdr:col>
                    <xdr:colOff>161925</xdr:colOff>
                    <xdr:row>6</xdr:row>
                    <xdr:rowOff>228600</xdr:rowOff>
                  </from>
                  <to>
                    <xdr:col>0</xdr:col>
                    <xdr:colOff>409575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20" name="Check Box 6">
              <controlPr defaultSize="0" autoFill="0" autoLine="0" autoPict="0">
                <anchor moveWithCells="1">
                  <from>
                    <xdr:col>0</xdr:col>
                    <xdr:colOff>161925</xdr:colOff>
                    <xdr:row>8</xdr:row>
                    <xdr:rowOff>9525</xdr:rowOff>
                  </from>
                  <to>
                    <xdr:col>0</xdr:col>
                    <xdr:colOff>409575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21" name="Check Box 7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9525</xdr:rowOff>
                  </from>
                  <to>
                    <xdr:col>0</xdr:col>
                    <xdr:colOff>409575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22" name="Check Box 8">
              <controlPr defaultSize="0" autoFill="0" autoLine="0" autoPict="0">
                <anchor moveWithCells="1">
                  <from>
                    <xdr:col>0</xdr:col>
                    <xdr:colOff>161925</xdr:colOff>
                    <xdr:row>9</xdr:row>
                    <xdr:rowOff>238125</xdr:rowOff>
                  </from>
                  <to>
                    <xdr:col>0</xdr:col>
                    <xdr:colOff>409575</xdr:colOff>
                    <xdr:row>11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23" name="Check Box 9">
              <controlPr defaultSize="0" autoFill="0" autoLine="0" autoPict="0">
                <anchor moveWithCells="1">
                  <from>
                    <xdr:col>0</xdr:col>
                    <xdr:colOff>161925</xdr:colOff>
                    <xdr:row>14</xdr:row>
                    <xdr:rowOff>28575</xdr:rowOff>
                  </from>
                  <to>
                    <xdr:col>0</xdr:col>
                    <xdr:colOff>409575</xdr:colOff>
                    <xdr:row>15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24" name="Check Box 10">
              <controlPr defaultSize="0" autoFill="0" autoLine="0" autoPict="0">
                <anchor moveWithCells="1">
                  <from>
                    <xdr:col>0</xdr:col>
                    <xdr:colOff>161925</xdr:colOff>
                    <xdr:row>15</xdr:row>
                    <xdr:rowOff>9525</xdr:rowOff>
                  </from>
                  <to>
                    <xdr:col>0</xdr:col>
                    <xdr:colOff>409575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25" name="Check Box 11">
              <controlPr defaultSize="0" autoFill="0" autoLine="0" autoPict="0">
                <anchor moveWithCells="1">
                  <from>
                    <xdr:col>0</xdr:col>
                    <xdr:colOff>161925</xdr:colOff>
                    <xdr:row>16</xdr:row>
                    <xdr:rowOff>28575</xdr:rowOff>
                  </from>
                  <to>
                    <xdr:col>0</xdr:col>
                    <xdr:colOff>409575</xdr:colOff>
                    <xdr:row>17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26" name="Check Box 12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28575</xdr:rowOff>
                  </from>
                  <to>
                    <xdr:col>0</xdr:col>
                    <xdr:colOff>409575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27" name="Check Box 13">
              <controlPr defaultSize="0" autoFill="0" autoLine="0" autoPict="0">
                <anchor moveWithCells="1">
                  <from>
                    <xdr:col>0</xdr:col>
                    <xdr:colOff>161925</xdr:colOff>
                    <xdr:row>20</xdr:row>
                    <xdr:rowOff>238125</xdr:rowOff>
                  </from>
                  <to>
                    <xdr:col>0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28" name="Check Box 14">
              <controlPr defaultSize="0" autoFill="0" autoLine="0" autoPict="0">
                <anchor moveWithCells="1">
                  <from>
                    <xdr:col>0</xdr:col>
                    <xdr:colOff>161925</xdr:colOff>
                    <xdr:row>26</xdr:row>
                    <xdr:rowOff>228600</xdr:rowOff>
                  </from>
                  <to>
                    <xdr:col>0</xdr:col>
                    <xdr:colOff>409575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29" name="Check Box 15">
              <controlPr defaultSize="0" autoFill="0" autoLine="0" autoPict="0">
                <anchor moveWithCells="1">
                  <from>
                    <xdr:col>0</xdr:col>
                    <xdr:colOff>161925</xdr:colOff>
                    <xdr:row>29</xdr:row>
                    <xdr:rowOff>228600</xdr:rowOff>
                  </from>
                  <to>
                    <xdr:col>0</xdr:col>
                    <xdr:colOff>409575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30" name="Check Box 16">
              <controlPr defaultSize="0" autoFill="0" autoLine="0" autoPict="0">
                <anchor moveWithCells="1">
                  <from>
                    <xdr:col>0</xdr:col>
                    <xdr:colOff>161925</xdr:colOff>
                    <xdr:row>30</xdr:row>
                    <xdr:rowOff>228600</xdr:rowOff>
                  </from>
                  <to>
                    <xdr:col>0</xdr:col>
                    <xdr:colOff>409575</xdr:colOff>
                    <xdr:row>32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31" name="Check Box 17">
              <controlPr defaultSize="0" autoFill="0" autoLine="0" autoPict="0">
                <anchor moveWithCells="1">
                  <from>
                    <xdr:col>0</xdr:col>
                    <xdr:colOff>161925</xdr:colOff>
                    <xdr:row>27</xdr:row>
                    <xdr:rowOff>228600</xdr:rowOff>
                  </from>
                  <to>
                    <xdr:col>0</xdr:col>
                    <xdr:colOff>409575</xdr:colOff>
                    <xdr:row>29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1372-FE51-48F9-94DB-6F11ED67CE39}">
  <dimension ref="A1:G32"/>
  <sheetViews>
    <sheetView topLeftCell="C1" zoomScaleNormal="100" workbookViewId="0">
      <pane ySplit="2" topLeftCell="A3" activePane="bottomLeft" state="frozen"/>
      <selection pane="bottomLeft" activeCell="G22" sqref="G22"/>
    </sheetView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D1" s="27" t="s">
        <v>0</v>
      </c>
      <c r="E1" s="28" t="e">
        <f>SUM(E4:E32)/COUNT(E4:E32)</f>
        <v>#REF!</v>
      </c>
    </row>
    <row r="2" spans="1:7" s="16" customFormat="1" ht="72" customHeight="1">
      <c r="A2" s="17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31" t="s">
        <v>67</v>
      </c>
      <c r="G2" s="18" t="s">
        <v>6</v>
      </c>
    </row>
    <row r="3" spans="1:7" ht="31.5">
      <c r="A3" s="7" t="s">
        <v>7</v>
      </c>
      <c r="B3" s="7"/>
      <c r="C3" s="8" t="s">
        <v>65</v>
      </c>
      <c r="D3" s="25"/>
      <c r="E3" s="15" t="s">
        <v>8</v>
      </c>
      <c r="F3" s="29"/>
      <c r="G3" s="23" t="s">
        <v>69</v>
      </c>
    </row>
    <row r="4" spans="1:7">
      <c r="A4" s="7" t="s">
        <v>7</v>
      </c>
      <c r="B4" s="9"/>
      <c r="C4" s="8" t="s">
        <v>111</v>
      </c>
      <c r="D4" s="25" t="s">
        <v>41</v>
      </c>
      <c r="E4" s="10">
        <f>IF(D4 = "Yes",1,IF(D4 = "N/A",1,0))</f>
        <v>0</v>
      </c>
      <c r="F4" s="29"/>
      <c r="G4" s="19"/>
    </row>
    <row r="5" spans="1:7" ht="31.5">
      <c r="A5" s="7" t="s">
        <v>7</v>
      </c>
      <c r="B5" s="9"/>
      <c r="C5" s="11" t="s">
        <v>9</v>
      </c>
      <c r="D5" s="25" t="s">
        <v>8</v>
      </c>
      <c r="E5" s="10" t="e">
        <f>VLOOKUP(D5,References!#REF!,2,FALSE)</f>
        <v>#REF!</v>
      </c>
      <c r="F5" s="29"/>
      <c r="G5" s="19"/>
    </row>
    <row r="6" spans="1:7">
      <c r="A6" s="7" t="s">
        <v>7</v>
      </c>
      <c r="B6" s="9"/>
      <c r="C6" s="8" t="s">
        <v>10</v>
      </c>
      <c r="D6" s="25" t="s">
        <v>8</v>
      </c>
      <c r="E6" s="10" t="e">
        <f>VLOOKUP(D6,References!#REF!,2,FALSE)</f>
        <v>#REF!</v>
      </c>
      <c r="F6" s="29"/>
      <c r="G6" s="19"/>
    </row>
    <row r="7" spans="1:7" ht="78.75">
      <c r="A7" s="9" t="s">
        <v>7</v>
      </c>
      <c r="B7" s="9"/>
      <c r="C7" s="8" t="s">
        <v>66</v>
      </c>
      <c r="D7" s="25"/>
      <c r="E7" s="10">
        <f>IF(D7="Yes",1,IF(D7="Not Applicable For This Type of ARB",1,0))</f>
        <v>0</v>
      </c>
      <c r="F7" s="29"/>
      <c r="G7" s="19"/>
    </row>
    <row r="8" spans="1:7" ht="31.5">
      <c r="A8" s="9" t="s">
        <v>7</v>
      </c>
      <c r="B8" s="9"/>
      <c r="C8" s="8" t="s">
        <v>11</v>
      </c>
      <c r="D8" s="25"/>
      <c r="E8" s="12">
        <f>IF(D8="Yes",1,IF(D8="N/A",1,0))</f>
        <v>0</v>
      </c>
      <c r="F8" s="29"/>
      <c r="G8" s="19"/>
    </row>
    <row r="9" spans="1:7" ht="47.25">
      <c r="A9" s="7" t="s">
        <v>7</v>
      </c>
      <c r="B9" s="13"/>
      <c r="C9" s="11" t="s">
        <v>12</v>
      </c>
      <c r="D9" s="25"/>
      <c r="E9" s="12">
        <f>IF(D9="Yes",1,IF(D9="N/A",1,0))</f>
        <v>0</v>
      </c>
      <c r="F9" s="29"/>
      <c r="G9" s="19"/>
    </row>
    <row r="10" spans="1:7">
      <c r="A10" s="7" t="s">
        <v>7</v>
      </c>
      <c r="B10" s="9"/>
      <c r="C10" s="8" t="s">
        <v>13</v>
      </c>
      <c r="D10" s="25" t="s">
        <v>58</v>
      </c>
      <c r="E10" s="10">
        <f>VLOOKUP(D10,References!B:C,2,FALSE)</f>
        <v>0</v>
      </c>
      <c r="F10" s="29"/>
      <c r="G10" s="23" t="s">
        <v>14</v>
      </c>
    </row>
    <row r="11" spans="1:7" ht="31.5">
      <c r="A11" s="7" t="s">
        <v>7</v>
      </c>
      <c r="B11" s="9"/>
      <c r="C11" s="11" t="s">
        <v>15</v>
      </c>
      <c r="D11" s="26" t="s">
        <v>8</v>
      </c>
      <c r="E11" s="10">
        <f>VLOOKUP(D11,References!D:E,2,FALSE)</f>
        <v>1</v>
      </c>
      <c r="F11" s="29"/>
      <c r="G11" s="19"/>
    </row>
    <row r="12" spans="1:7" ht="31.5">
      <c r="A12" s="7" t="s">
        <v>7</v>
      </c>
      <c r="B12" s="9"/>
      <c r="C12" s="8" t="s">
        <v>16</v>
      </c>
      <c r="D12" s="26" t="s">
        <v>8</v>
      </c>
      <c r="E12" s="10">
        <f>VLOOKUP(D12,References!D:E,2,FALSE)</f>
        <v>1</v>
      </c>
      <c r="F12" s="29"/>
      <c r="G12" s="19"/>
    </row>
    <row r="13" spans="1:7" ht="31.5">
      <c r="A13" s="7" t="s">
        <v>7</v>
      </c>
      <c r="B13" s="9"/>
      <c r="C13" s="8" t="s">
        <v>17</v>
      </c>
      <c r="D13" s="26" t="s">
        <v>8</v>
      </c>
      <c r="E13" s="10">
        <f>VLOOKUP(D13,References!D:E,2,FALSE)</f>
        <v>1</v>
      </c>
      <c r="F13" s="29"/>
      <c r="G13" s="19"/>
    </row>
    <row r="14" spans="1:7" ht="31.5">
      <c r="A14" s="7" t="s">
        <v>7</v>
      </c>
      <c r="B14" s="13"/>
      <c r="C14" s="8" t="s">
        <v>18</v>
      </c>
      <c r="D14" s="26" t="s">
        <v>8</v>
      </c>
      <c r="E14" s="10">
        <f>VLOOKUP(D14,References!D:E,2,FALSE)</f>
        <v>1</v>
      </c>
      <c r="F14" s="30"/>
      <c r="G14" s="20" t="s">
        <v>19</v>
      </c>
    </row>
    <row r="15" spans="1:7" ht="110.25">
      <c r="A15" s="9" t="s">
        <v>7</v>
      </c>
      <c r="B15" s="9"/>
      <c r="C15" s="8" t="s">
        <v>20</v>
      </c>
      <c r="D15" s="26" t="s">
        <v>8</v>
      </c>
      <c r="E15" s="10">
        <f>VLOOKUP(D15,References!D:E,2,FALSE)</f>
        <v>1</v>
      </c>
      <c r="F15" s="29"/>
      <c r="G15" s="21" t="s">
        <v>21</v>
      </c>
    </row>
    <row r="16" spans="1:7" ht="110.25">
      <c r="A16" s="9" t="s">
        <v>7</v>
      </c>
      <c r="B16" s="9"/>
      <c r="C16" s="8" t="s">
        <v>99</v>
      </c>
      <c r="D16" s="26" t="s">
        <v>8</v>
      </c>
      <c r="E16" s="10">
        <f>VLOOKUP(D16,References!D:E,2,FALSE)</f>
        <v>1</v>
      </c>
      <c r="F16" s="29"/>
      <c r="G16" s="21" t="s">
        <v>21</v>
      </c>
    </row>
    <row r="17" spans="1:7">
      <c r="A17" s="9" t="s">
        <v>7</v>
      </c>
      <c r="B17" s="9" t="s">
        <v>23</v>
      </c>
      <c r="C17" s="8" t="s">
        <v>24</v>
      </c>
      <c r="D17" s="26" t="s">
        <v>8</v>
      </c>
      <c r="E17" s="10">
        <f>VLOOKUP(D17,References!D:E,2,FALSE)</f>
        <v>1</v>
      </c>
      <c r="F17" s="29"/>
      <c r="G17" s="19"/>
    </row>
    <row r="18" spans="1:7" ht="31.5">
      <c r="A18" s="9" t="s">
        <v>7</v>
      </c>
      <c r="B18" s="9"/>
      <c r="C18" s="8" t="s">
        <v>25</v>
      </c>
      <c r="D18" s="25" t="s">
        <v>62</v>
      </c>
      <c r="E18" s="10" t="e">
        <f>VLOOKUP(D18,References!#REF!,2,FALSE)</f>
        <v>#REF!</v>
      </c>
      <c r="F18" s="29"/>
      <c r="G18" s="19"/>
    </row>
    <row r="19" spans="1:7">
      <c r="A19" s="9" t="s">
        <v>7</v>
      </c>
      <c r="B19" s="9"/>
      <c r="C19" s="8" t="s">
        <v>26</v>
      </c>
      <c r="D19" s="25" t="s">
        <v>62</v>
      </c>
      <c r="E19" s="10" t="e">
        <f>VLOOKUP(D19,References!#REF!,2,FALSE)</f>
        <v>#REF!</v>
      </c>
      <c r="F19" s="29"/>
      <c r="G19" s="19"/>
    </row>
    <row r="20" spans="1:7" ht="31.5">
      <c r="A20" s="9" t="s">
        <v>136</v>
      </c>
      <c r="B20" s="9" t="s">
        <v>23</v>
      </c>
      <c r="C20" s="8" t="s">
        <v>137</v>
      </c>
      <c r="D20" s="26" t="s">
        <v>8</v>
      </c>
      <c r="E20" s="10">
        <f>VLOOKUP(D20,References!D:E,2,FALSE)</f>
        <v>1</v>
      </c>
      <c r="F20" s="29"/>
      <c r="G20" s="23" t="s">
        <v>139</v>
      </c>
    </row>
    <row r="21" spans="1:7" ht="31.5">
      <c r="A21" s="9" t="s">
        <v>136</v>
      </c>
      <c r="B21" s="9" t="s">
        <v>23</v>
      </c>
      <c r="C21" s="8" t="s">
        <v>138</v>
      </c>
      <c r="D21" s="26" t="s">
        <v>8</v>
      </c>
      <c r="E21" s="10">
        <f>VLOOKUP(D21,References!D:E,2,FALSE)</f>
        <v>1</v>
      </c>
      <c r="F21" s="29"/>
      <c r="G21" s="23" t="s">
        <v>140</v>
      </c>
    </row>
    <row r="22" spans="1:7">
      <c r="A22" s="9" t="s">
        <v>27</v>
      </c>
      <c r="B22" s="9"/>
      <c r="C22" s="8" t="s">
        <v>121</v>
      </c>
      <c r="D22" s="25" t="s">
        <v>117</v>
      </c>
      <c r="E22" s="10">
        <f>VLOOKUP(D22,References!S:T,2,FALSE)</f>
        <v>-1</v>
      </c>
      <c r="F22" s="29"/>
      <c r="G22" s="23" t="s">
        <v>28</v>
      </c>
    </row>
    <row r="23" spans="1:7" ht="141.75">
      <c r="A23" s="7" t="s">
        <v>29</v>
      </c>
      <c r="B23" s="13"/>
      <c r="C23" s="11" t="s">
        <v>120</v>
      </c>
      <c r="D23" s="25" t="s">
        <v>117</v>
      </c>
      <c r="E23" s="10">
        <f>VLOOKUP(D23,References!S:T,2,FALSE)</f>
        <v>-1</v>
      </c>
      <c r="F23" s="29"/>
      <c r="G23" s="24" t="s">
        <v>119</v>
      </c>
    </row>
    <row r="24" spans="1:7" ht="16.5" thickBot="1">
      <c r="A24" s="45" t="s">
        <v>32</v>
      </c>
      <c r="B24" s="45"/>
      <c r="C24" s="46" t="s">
        <v>122</v>
      </c>
      <c r="D24" s="32" t="s">
        <v>117</v>
      </c>
      <c r="E24" s="33">
        <f>VLOOKUP(D24,References!S:T,2,FALSE)</f>
        <v>-1</v>
      </c>
      <c r="F24" s="34"/>
      <c r="G24" s="35" t="s">
        <v>33</v>
      </c>
    </row>
    <row r="25" spans="1:7" s="38" customFormat="1" ht="48" thickTop="1">
      <c r="A25" s="47" t="s">
        <v>36</v>
      </c>
      <c r="B25" s="48" t="s">
        <v>38</v>
      </c>
      <c r="C25" s="49" t="s">
        <v>124</v>
      </c>
      <c r="D25" s="36" t="s">
        <v>45</v>
      </c>
      <c r="E25" s="37">
        <f>VLOOKUP(D25,References!Y:Z,2,FALSE)</f>
        <v>1</v>
      </c>
      <c r="F25" s="50"/>
      <c r="G25" s="51"/>
    </row>
    <row r="26" spans="1:7" ht="110.25">
      <c r="A26" s="7" t="s">
        <v>7</v>
      </c>
      <c r="B26" s="13" t="s">
        <v>23</v>
      </c>
      <c r="C26" s="11" t="s">
        <v>123</v>
      </c>
      <c r="D26" s="25" t="s">
        <v>45</v>
      </c>
      <c r="E26" s="10">
        <f>VLOOKUP(D26,References!W:X,2,FALSE)</f>
        <v>1</v>
      </c>
      <c r="F26" s="29"/>
      <c r="G26" s="24" t="s">
        <v>21</v>
      </c>
    </row>
    <row r="27" spans="1:7" ht="47.25">
      <c r="A27" s="7" t="s">
        <v>7</v>
      </c>
      <c r="B27" s="13"/>
      <c r="C27" s="11" t="s">
        <v>125</v>
      </c>
      <c r="D27" s="25" t="s">
        <v>45</v>
      </c>
      <c r="E27" s="10">
        <f>VLOOKUP(D27,References!Y:Z,2,FALSE)</f>
        <v>1</v>
      </c>
      <c r="F27" s="29"/>
      <c r="G27" s="24" t="s">
        <v>68</v>
      </c>
    </row>
    <row r="28" spans="1:7" ht="31.5">
      <c r="A28" s="9" t="s">
        <v>7</v>
      </c>
      <c r="B28" s="9" t="s">
        <v>22</v>
      </c>
      <c r="C28" s="8" t="s">
        <v>126</v>
      </c>
      <c r="D28" s="32" t="s">
        <v>45</v>
      </c>
      <c r="E28" s="10">
        <f>VLOOKUP(D28,References!W:X,2,FALSE)</f>
        <v>1</v>
      </c>
      <c r="F28" s="29"/>
      <c r="G28" s="19" t="s">
        <v>44</v>
      </c>
    </row>
    <row r="29" spans="1:7" ht="47.25">
      <c r="A29" s="9" t="s">
        <v>27</v>
      </c>
      <c r="B29" s="9"/>
      <c r="C29" s="14" t="s">
        <v>127</v>
      </c>
      <c r="D29" s="32" t="s">
        <v>45</v>
      </c>
      <c r="E29" s="10">
        <f>VLOOKUP(D29,References!W:X,2,FALSE)</f>
        <v>1</v>
      </c>
      <c r="F29" s="29"/>
      <c r="G29" s="19" t="s">
        <v>107</v>
      </c>
    </row>
    <row r="30" spans="1:7" ht="47.25">
      <c r="A30" s="9" t="s">
        <v>29</v>
      </c>
      <c r="B30" s="9" t="s">
        <v>30</v>
      </c>
      <c r="C30" s="14" t="s">
        <v>128</v>
      </c>
      <c r="D30" s="32" t="s">
        <v>45</v>
      </c>
      <c r="E30" s="10">
        <f>VLOOKUP(D30,References!W:X,2,FALSE)</f>
        <v>1</v>
      </c>
      <c r="F30" s="29"/>
      <c r="G30" s="19" t="s">
        <v>31</v>
      </c>
    </row>
    <row r="31" spans="1:7" ht="47.25">
      <c r="A31" s="9" t="s">
        <v>34</v>
      </c>
      <c r="B31" s="9"/>
      <c r="C31" s="11" t="s">
        <v>129</v>
      </c>
      <c r="D31" s="32" t="s">
        <v>45</v>
      </c>
      <c r="E31" s="10">
        <f>VLOOKUP(D31,References!W:X,2,FALSE)</f>
        <v>1</v>
      </c>
      <c r="F31" s="30"/>
      <c r="G31" s="22" t="s">
        <v>35</v>
      </c>
    </row>
    <row r="32" spans="1:7" ht="47.25">
      <c r="A32" s="7" t="s">
        <v>36</v>
      </c>
      <c r="B32" s="13"/>
      <c r="C32" s="14" t="s">
        <v>130</v>
      </c>
      <c r="D32" s="32" t="s">
        <v>45</v>
      </c>
      <c r="E32" s="10">
        <f>VLOOKUP(D32,References!W:X,2,FALSE)</f>
        <v>1</v>
      </c>
      <c r="F32" s="29"/>
      <c r="G32" s="19" t="s">
        <v>37</v>
      </c>
    </row>
  </sheetData>
  <autoFilter ref="A2:G25" xr:uid="{C8F5E862-E634-4BBD-9593-84317083CAE8}"/>
  <conditionalFormatting sqref="E1">
    <cfRule type="cellIs" dxfId="36" priority="1" operator="between">
      <formula>0.9</formula>
      <formula>1</formula>
    </cfRule>
    <cfRule type="cellIs" dxfId="35" priority="2" operator="between">
      <formula>0</formula>
      <formula>0.899</formula>
    </cfRule>
  </conditionalFormatting>
  <conditionalFormatting sqref="E4:E32">
    <cfRule type="colorScale" priority="23">
      <colorScale>
        <cfvo type="min"/>
        <cfvo type="percentile" val="50"/>
        <cfvo type="max"/>
        <color theme="5" tint="0.39997558519241921"/>
        <color theme="7" tint="0.39997558519241921"/>
        <color theme="9" tint="0.79998168889431442"/>
      </colorScale>
    </cfRule>
  </conditionalFormatting>
  <dataValidations count="4">
    <dataValidation type="list" allowBlank="1" showInputMessage="1" showErrorMessage="1" sqref="D7" xr:uid="{EF0A788A-D535-4FC3-BC01-83C151C8669F}">
      <formula1>"Yes, No, Not Applicable For This Type of ARB"</formula1>
    </dataValidation>
    <dataValidation type="list" allowBlank="1" showInputMessage="1" showErrorMessage="1" sqref="D4" xr:uid="{8A179E62-7722-41E6-A7E6-4F3A6704EDF3}">
      <formula1>Answers</formula1>
    </dataValidation>
    <dataValidation type="list" allowBlank="1" showInputMessage="1" showErrorMessage="1" sqref="D7" xr:uid="{EB35C9C1-7D67-47EB-BC26-235CF5D59770}">
      <formula1>"Yes, No, Not a Final ARB"</formula1>
    </dataValidation>
    <dataValidation type="list" allowBlank="1" showInputMessage="1" showErrorMessage="1" sqref="D236:D1048576" xr:uid="{DFE3D393-0266-4BDD-8D2B-7FA3466AE9BB}">
      <formula1>$R$2:$R$7</formula1>
    </dataValidation>
  </dataValidations>
  <hyperlinks>
    <hyperlink ref="G14" r:id="rId1" display="https://aegonna.sharepoint.com/sites/GEA/SitePages/Architecture-Principles.aspx" xr:uid="{EDEAF0E6-99BF-4CB3-8844-C370DC6A529F}"/>
    <hyperlink ref="G10" r:id="rId2" xr:uid="{C1D9D923-96E5-410D-9688-D549826A6711}"/>
    <hyperlink ref="G22" r:id="rId3" xr:uid="{7335458A-6311-4E5E-934A-F16F0D380C19}"/>
    <hyperlink ref="F2" r:id="rId4" display="Risk Acceptance link (if risk acceptend) or Risk Remediation link (if risk remediation accepted) or explanation of non-passing score" xr:uid="{3E39132F-E130-8E4F-B23E-446A0BD64BCC}"/>
    <hyperlink ref="G27" r:id="rId5" display="CMDB Link" xr:uid="{433AD738-B68F-BA48-9C08-BEBFC5734F54}"/>
    <hyperlink ref="G3" r:id="rId6" xr:uid="{1B97841B-9D68-C745-9D6E-F04607D263A1}"/>
    <hyperlink ref="G20:G21" r:id="rId7" display="Link to GenAi Inventory" xr:uid="{4BBE5161-EDC4-48A1-B32C-03C3F20CF76C}"/>
  </hyperlinks>
  <pageMargins left="0.7" right="0.7" top="0.75" bottom="0.75" header="0.3" footer="0.3"/>
  <pageSetup orientation="portrait" r:id="rId8"/>
  <headerFooter>
    <oddFooter>&amp;C_x000D_&amp;1#&amp;"Aptos"&amp;10&amp;K000000 Internal</oddFooter>
  </headerFooter>
  <legacyDrawing r:id="rId9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7125961B-2606-4ED6-8099-B54A99128DC2}">
          <x14:formula1>
            <xm:f>References!$S$4:$S$20</xm:f>
          </x14:formula1>
          <xm:sqref>D22:D24</xm:sqref>
        </x14:dataValidation>
        <x14:dataValidation type="list" allowBlank="1" showInputMessage="1" showErrorMessage="1" xr:uid="{ADD40737-B8F3-4C3D-85DB-1E2E4FAA3F94}">
          <x14:formula1>
            <xm:f>References!$P$4:$P$20</xm:f>
          </x14:formula1>
          <xm:sqref>D3</xm:sqref>
        </x14:dataValidation>
        <x14:dataValidation type="list" allowBlank="1" showInputMessage="1" showErrorMessage="1" xr:uid="{A678BBD6-028A-4C43-B7F4-05EECD64D6D5}">
          <x14:formula1>
            <xm:f>References!$D$4:$D$20</xm:f>
          </x14:formula1>
          <xm:sqref>D11:D17 D20:D21</xm:sqref>
        </x14:dataValidation>
        <x14:dataValidation type="list" allowBlank="1" showInputMessage="1" showErrorMessage="1" xr:uid="{D95A097D-8F3B-4AE1-8B46-C2DF93E8A6F1}">
          <x14:formula1>
            <xm:f>References!$R$4:$R$20</xm:f>
          </x14:formula1>
          <xm:sqref>D8:D9</xm:sqref>
        </x14:dataValidation>
        <x14:dataValidation type="list" allowBlank="1" showInputMessage="1" showErrorMessage="1" xr:uid="{4516E1B4-FF2E-4CBC-810F-3DBE3F6C34C4}">
          <x14:formula1>
            <xm:f>References!$W$4:$W$20</xm:f>
          </x14:formula1>
          <xm:sqref>D25:D32</xm:sqref>
        </x14:dataValidation>
        <x14:dataValidation type="list" allowBlank="1" showInputMessage="1" showErrorMessage="1" xr:uid="{D78FA92D-3EFD-4704-8F20-959288F801C5}">
          <x14:formula1>
            <xm:f>References!$B$4:$B$14</xm:f>
          </x14:formula1>
          <xm:sqref>D10</xm:sqref>
        </x14:dataValidation>
        <x14:dataValidation type="list" allowBlank="1" showInputMessage="1" showErrorMessage="1" xr:uid="{237A1733-7D55-404E-9AA1-A0CA01CEEC50}">
          <x14:formula1>
            <xm:f>References!#REF!</xm:f>
          </x14:formula1>
          <xm:sqref>D5:D7 D18:D19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05D2-F180-4BAA-B1F0-D2AA1D8DED2E}">
  <dimension ref="A1"/>
  <sheetViews>
    <sheetView workbookViewId="0"/>
  </sheetViews>
  <sheetFormatPr defaultColWidth="8.875" defaultRowHeight="15.75"/>
  <sheetData/>
  <pageMargins left="0.7" right="0.7" top="0.75" bottom="0.75" header="0.3" footer="0.3"/>
  <headerFooter>
    <oddFooter>&amp;C_x000D_&amp;1#&amp;"Aptos"&amp;10&amp;K000000 Internal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E6D0-5F84-42F2-A575-6E7202189E1B}">
  <dimension ref="A1:I10"/>
  <sheetViews>
    <sheetView workbookViewId="0">
      <selection activeCell="B12" sqref="B12"/>
    </sheetView>
  </sheetViews>
  <sheetFormatPr defaultColWidth="8.875" defaultRowHeight="15.75"/>
  <cols>
    <col min="1" max="1" width="3.375" customWidth="1"/>
    <col min="2" max="2" width="36" customWidth="1"/>
    <col min="3" max="3" width="8.5" customWidth="1"/>
    <col min="4" max="4" width="5.625" customWidth="1"/>
    <col min="5" max="5" width="1.375" customWidth="1"/>
    <col min="6" max="6" width="27.25" customWidth="1"/>
    <col min="8" max="8" width="5.5" customWidth="1"/>
    <col min="9" max="9" width="2.375" customWidth="1"/>
  </cols>
  <sheetData>
    <row r="1" spans="1:9">
      <c r="A1" s="145"/>
      <c r="B1" s="145"/>
      <c r="C1" s="145"/>
      <c r="D1" s="145"/>
      <c r="E1" s="145"/>
      <c r="F1" s="145"/>
      <c r="G1" s="145"/>
      <c r="H1" s="145"/>
      <c r="I1" s="145"/>
    </row>
    <row r="2" spans="1:9">
      <c r="A2" s="145"/>
      <c r="B2" s="146" t="str">
        <f>Architecture!A1</f>
        <v>ARCHITECTURE DOMAIN</v>
      </c>
      <c r="C2" s="147">
        <f>Architecture!D1</f>
        <v>1</v>
      </c>
      <c r="D2" s="148" t="str">
        <f>IF(C2&lt;90%,"FAIL","PASS")</f>
        <v>PASS</v>
      </c>
      <c r="E2" s="145"/>
      <c r="F2" s="146" t="str">
        <f>'Gen AI'!A1</f>
        <v>GEN AI DOMAIN</v>
      </c>
      <c r="G2" s="147">
        <f>'Gen AI'!E1</f>
        <v>1</v>
      </c>
      <c r="H2" s="148" t="str">
        <f>IF(G2&lt;90%,"FAIL","PASS")</f>
        <v>PASS</v>
      </c>
      <c r="I2" s="145"/>
    </row>
    <row r="3" spans="1:9">
      <c r="A3" s="145"/>
      <c r="B3" s="146" t="s">
        <v>354</v>
      </c>
      <c r="C3" s="147">
        <f>'Business Enablement Svcs Tech'!D1</f>
        <v>1</v>
      </c>
      <c r="D3" s="148" t="str">
        <f>IF(C3&lt;90%,"FAIL","PASS")</f>
        <v>PASS</v>
      </c>
      <c r="E3" s="145"/>
      <c r="F3" s="146" t="str">
        <f>Security!A1</f>
        <v>SECURITY DOMAIN</v>
      </c>
      <c r="G3" s="147">
        <f>Security!D1</f>
        <v>0.81818181818181823</v>
      </c>
      <c r="H3" s="148" t="str">
        <f>IF(G3&lt;90%,"FAIL","PASS")</f>
        <v>FAIL</v>
      </c>
      <c r="I3" s="145"/>
    </row>
    <row r="4" spans="1:9">
      <c r="A4" s="145"/>
      <c r="B4" s="146" t="str">
        <f>'Data Privacy'!A1</f>
        <v>DATA DOMAIN</v>
      </c>
      <c r="C4" s="147">
        <f>'Data Privacy'!E1</f>
        <v>0.33333333333333331</v>
      </c>
      <c r="D4" s="148" t="str">
        <f t="shared" ref="D4" si="0">IF(C4&lt;90%,"FAIL","PASS")</f>
        <v>FAIL</v>
      </c>
      <c r="E4" s="145"/>
      <c r="F4" s="146" t="str">
        <f>Risks!A1</f>
        <v>RISKS DOMAIN</v>
      </c>
      <c r="G4" s="147">
        <f>Risks!E1</f>
        <v>1</v>
      </c>
      <c r="H4" s="148" t="str">
        <f>IF(G4&lt;90%,"FAIL","PASS")</f>
        <v>PASS</v>
      </c>
      <c r="I4" s="145"/>
    </row>
    <row r="5" spans="1:9">
      <c r="A5" s="145"/>
      <c r="B5" s="145"/>
      <c r="C5" s="145"/>
      <c r="D5" s="145"/>
      <c r="E5" s="145"/>
      <c r="F5" s="145"/>
      <c r="G5" s="145"/>
      <c r="H5" s="145"/>
      <c r="I5" s="145"/>
    </row>
    <row r="6" spans="1:9" hidden="1">
      <c r="B6" s="66" t="e">
        <f>#REF!</f>
        <v>#REF!</v>
      </c>
      <c r="C6" s="53" t="e">
        <f>#REF!</f>
        <v>#REF!</v>
      </c>
      <c r="D6" t="e">
        <f t="shared" ref="D6:D8" si="1">IF(C6&lt;90%,"FAIL","Pass")</f>
        <v>#REF!</v>
      </c>
      <c r="E6" s="77" t="s">
        <v>222</v>
      </c>
    </row>
    <row r="7" spans="1:9" hidden="1">
      <c r="B7" s="66" t="str">
        <f>Performance!A1</f>
        <v>PERFORMANCE DOMAIN</v>
      </c>
      <c r="C7" s="53">
        <f>Performance!E1</f>
        <v>1</v>
      </c>
      <c r="D7" t="str">
        <f t="shared" si="1"/>
        <v>Pass</v>
      </c>
      <c r="E7" s="77" t="s">
        <v>222</v>
      </c>
    </row>
    <row r="8" spans="1:9" hidden="1">
      <c r="B8" s="66" t="str">
        <f>NFRs!A1</f>
        <v>NON FUNCTIONAL REQUIREMENTS
DOMAIN</v>
      </c>
      <c r="C8" s="53">
        <f>NFRs!E1</f>
        <v>1</v>
      </c>
      <c r="D8" t="str">
        <f t="shared" si="1"/>
        <v>Pass</v>
      </c>
      <c r="E8" s="77" t="s">
        <v>222</v>
      </c>
    </row>
    <row r="9" spans="1:9" ht="30.75" customHeight="1">
      <c r="B9" s="41" t="s">
        <v>148</v>
      </c>
      <c r="C9" s="53">
        <f>AVERAGE(C2:C5,G2:G4)</f>
        <v>0.85858585858585856</v>
      </c>
      <c r="D9" s="131" t="str">
        <f>IF(COUNTIF(D2:D5,"FAIL")+ COUNTIF(H2:H5,"FAIL")&gt;1,"FAIL",IF(C9&lt;90%,"FAIL","PASS"))</f>
        <v>FAIL</v>
      </c>
      <c r="F9" s="149" t="s">
        <v>371</v>
      </c>
    </row>
    <row r="10" spans="1:9">
      <c r="B10" s="41"/>
    </row>
  </sheetData>
  <sheetProtection sheet="1" objects="1" scenarios="1"/>
  <conditionalFormatting sqref="D1:D4 H2:H4 D6:D1048576">
    <cfRule type="cellIs" dxfId="34" priority="1" stopIfTrue="1" operator="equal">
      <formula>"SCORING FAILURE"</formula>
    </cfRule>
    <cfRule type="cellIs" dxfId="33" priority="2" stopIfTrue="1" operator="equal">
      <formula>"FAIL"</formula>
    </cfRule>
    <cfRule type="cellIs" dxfId="32" priority="3" stopIfTrue="1" operator="equal">
      <formula>"PASS"</formula>
    </cfRule>
  </conditionalFormatting>
  <hyperlinks>
    <hyperlink ref="B2" location="Architecture!A1" display="Architecture!A1" xr:uid="{A7796C99-4D13-4237-B1E3-ED9A97616BD5}"/>
    <hyperlink ref="B4" location="'Data Privacy'!A1" display="'Data Privacy'!A1" xr:uid="{0E60D32C-DA0C-4ABB-B80A-D3809DE01BC3}"/>
    <hyperlink ref="F2" location="'Gen AI'!A1" display="'Gen AI'!A1" xr:uid="{A965A439-C22B-4662-A104-B0CA17C9E20C}"/>
    <hyperlink ref="F3" location="Security!A1" display="Security!A1" xr:uid="{BE6A0713-FD34-4639-B680-C47BA7647184}"/>
    <hyperlink ref="F4" location="Risks!A1" display="Risks!A1" xr:uid="{FBD7E88E-A086-49DB-9DB3-CA9EB8DA418B}"/>
    <hyperlink ref="B6" location="Quality!A1" display="Quality!A1" xr:uid="{0FDBDAED-5F20-49BF-B032-94AE18EC9074}"/>
    <hyperlink ref="B8" location="NFRs!A1" display="NFRs!A1" xr:uid="{F697930E-D184-45D0-AE5C-6105F706AE87}"/>
    <hyperlink ref="B7" location="Performance!A1" display="Performance!A1" xr:uid="{3A82E144-93F0-4D1E-A779-44E728471191}"/>
    <hyperlink ref="B3" location="'Business Enablement Svcs Tech'!A1" display="BUSINESS ENABLEMENT TECH SERVICES" xr:uid="{5B1D974F-FF0E-464B-A745-127398BDCB8E}"/>
  </hyperlinks>
  <pageMargins left="0.7" right="0.7" top="0.75" bottom="0.75" header="0.3" footer="0.3"/>
  <headerFooter>
    <oddFooter>&amp;C_x000D_&amp;1#&amp;"Aptos"&amp;10&amp;K000000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937B-7459-4448-8558-F2C2326AA86A}">
  <dimension ref="A1:O19"/>
  <sheetViews>
    <sheetView zoomScale="115" zoomScaleNormal="115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C14" sqref="C14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22.625" style="144" customWidth="1"/>
    <col min="4" max="4" width="25" style="2" customWidth="1"/>
    <col min="5" max="5" width="46.875" style="30" customWidth="1"/>
    <col min="6" max="6" width="46.875" style="4" customWidth="1"/>
    <col min="7" max="7" width="68.5" style="4" bestFit="1" customWidth="1"/>
    <col min="8" max="8" width="173.75" style="4" hidden="1" customWidth="1"/>
    <col min="9" max="9" width="52" style="5" hidden="1" customWidth="1"/>
    <col min="10" max="10" width="52" style="5" customWidth="1"/>
    <col min="11" max="11" width="52" style="5" hidden="1" customWidth="1"/>
    <col min="12" max="12" width="54.5" style="1" hidden="1" customWidth="1"/>
    <col min="13" max="13" width="41.5" style="4" hidden="1" customWidth="1"/>
    <col min="14" max="14" width="25.125" style="1" hidden="1" customWidth="1"/>
    <col min="15" max="15" width="24.875" style="1" bestFit="1" customWidth="1"/>
    <col min="16" max="16384" width="10.625" style="1"/>
  </cols>
  <sheetData>
    <row r="1" spans="1:15" ht="16.5" thickBot="1">
      <c r="A1" s="1" t="s">
        <v>141</v>
      </c>
      <c r="C1" s="141"/>
      <c r="D1" s="28">
        <f>SUM(D3:D18)/COUNT(D3:D18)</f>
        <v>1</v>
      </c>
    </row>
    <row r="2" spans="1:15" s="16" customFormat="1" ht="47.25" customHeight="1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  <c r="J2" s="180"/>
      <c r="K2" s="180"/>
      <c r="L2" s="180"/>
      <c r="M2" s="180"/>
      <c r="N2" s="180"/>
      <c r="O2" s="180"/>
    </row>
    <row r="3" spans="1:15" s="90" customFormat="1" ht="31.5">
      <c r="A3" s="96" t="s">
        <v>7</v>
      </c>
      <c r="B3" s="97" t="s">
        <v>168</v>
      </c>
      <c r="C3" s="98" t="s">
        <v>154</v>
      </c>
      <c r="D3" s="99">
        <f>VLOOKUP(C3,References!P:Q,2,FALSE)</f>
        <v>1</v>
      </c>
      <c r="E3" s="123"/>
      <c r="F3" s="78"/>
      <c r="G3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3" s="160" t="str">
        <f>CONCATENATE("=hyperlink(""",M3,""",""",I3,""")")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3" s="71" t="s">
        <v>240</v>
      </c>
      <c r="J3" s="160"/>
      <c r="K3" s="160"/>
      <c r="M3" s="115" t="s">
        <v>375</v>
      </c>
    </row>
    <row r="4" spans="1:15" s="90" customFormat="1" ht="31.5">
      <c r="A4" s="96" t="s">
        <v>7</v>
      </c>
      <c r="B4" s="97" t="s">
        <v>228</v>
      </c>
      <c r="C4" s="98" t="s">
        <v>109</v>
      </c>
      <c r="D4" s="99">
        <f>VLOOKUP(C4,References!N:O,2,FALSE)</f>
        <v>1</v>
      </c>
      <c r="E4" s="123"/>
      <c r="F4" s="78"/>
      <c r="G4" s="160" t="str">
        <f>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f>
        <v>2026 Enterprise Technology ARB Charter &amp; Architecture Processes Overview.pptx</v>
      </c>
      <c r="H4" s="160" t="str">
        <f>CONCATENATE("=hyperlink(""",M4,""",""",I4,""")")</f>
        <v>=hyperlink("https://aegonna.sharepoint.com/:p:/r/sites/GEA/_layouts/15/Doc.aspx?sourcedoc=%7B751DCB16-8E6D-4CC5-BD0A-17AC94837E7C%7D&amp;file=2026%20Enterprise%20Technology%20ARB%20Charter%20&amp;%20Architecture%20Processes%20Overview.pptx=&amp;action=edit&amp;mobileredirect=true","2026 Enterprise Technology ARB Charter &amp; Architecture Processes Overview.pptx")</v>
      </c>
      <c r="I4" s="71" t="s">
        <v>240</v>
      </c>
      <c r="J4" s="160"/>
      <c r="K4" s="160"/>
      <c r="M4" s="115" t="s">
        <v>375</v>
      </c>
    </row>
    <row r="5" spans="1:15" s="90" customFormat="1" ht="31.5">
      <c r="A5" s="96" t="s">
        <v>7</v>
      </c>
      <c r="B5" s="97" t="s">
        <v>342</v>
      </c>
      <c r="C5" s="98" t="s">
        <v>40</v>
      </c>
      <c r="D5" s="99">
        <f>VLOOKUP(C5,References!D:E,2,FALSE)</f>
        <v>1</v>
      </c>
      <c r="E5" s="132"/>
      <c r="F5" s="98" t="s">
        <v>241</v>
      </c>
      <c r="G5" s="159"/>
      <c r="H5" s="160"/>
      <c r="I5" s="101"/>
      <c r="J5" s="160"/>
      <c r="K5" s="160"/>
      <c r="M5" s="136"/>
    </row>
    <row r="6" spans="1:15" s="90" customFormat="1" ht="31.5">
      <c r="A6" s="96" t="s">
        <v>7</v>
      </c>
      <c r="B6" s="104" t="s">
        <v>331</v>
      </c>
      <c r="C6" s="103" t="s">
        <v>8</v>
      </c>
      <c r="D6" s="99">
        <f>VLOOKUP(C6,References!D:E,2,FALSE)</f>
        <v>1</v>
      </c>
      <c r="E6" s="132"/>
      <c r="F6" s="105"/>
      <c r="G6" s="152" t="str">
        <f>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f>
        <v>Global Workload Placement Guidance (2025)</v>
      </c>
      <c r="H6" s="160" t="str">
        <f>CONCATENATE("=hyperlink(""",M6,""",""",I6,""")")</f>
        <v>=hyperlink("https://aegonna.sharepoint.com/:w:/r/sites/GTS-GlobalARB/_layouts/15/Doc.aspx?sourcedoc=%7BDE694E79-B787-4BF8-B39D-C8B841FCA44E%7D&amp;file=Global%20Workload%20Placement%20Guidance.docx&amp;action=default&amp;mobileredirect=true","Global Workload Placement Guidance (2025)")</v>
      </c>
      <c r="I6" s="71" t="s">
        <v>279</v>
      </c>
      <c r="J6" s="160"/>
      <c r="K6" s="160"/>
      <c r="M6" s="152" t="s">
        <v>376</v>
      </c>
    </row>
    <row r="7" spans="1:15" s="90" customFormat="1">
      <c r="A7" s="96" t="s">
        <v>7</v>
      </c>
      <c r="B7" s="106" t="s">
        <v>312</v>
      </c>
      <c r="C7" s="103" t="s">
        <v>344</v>
      </c>
      <c r="D7" s="99">
        <f>VLOOKUP(C7,References!AK:AL,2,FALSE)</f>
        <v>1</v>
      </c>
      <c r="E7" s="123"/>
      <c r="F7" s="107"/>
      <c r="G7" s="123"/>
      <c r="H7" s="160"/>
      <c r="I7" s="101" t="s">
        <v>275</v>
      </c>
      <c r="J7" s="160"/>
      <c r="K7" s="160"/>
      <c r="M7" s="123"/>
    </row>
    <row r="8" spans="1:15" s="90" customFormat="1" ht="31.5">
      <c r="A8" s="96" t="s">
        <v>7</v>
      </c>
      <c r="B8" s="106" t="s">
        <v>256</v>
      </c>
      <c r="C8" s="103" t="s">
        <v>261</v>
      </c>
      <c r="D8" s="99">
        <f>VLOOKUP(C8,References!AM:AN,2,FALSE)</f>
        <v>1</v>
      </c>
      <c r="E8" s="123"/>
      <c r="F8" s="107"/>
      <c r="G8" s="123"/>
      <c r="H8" s="160"/>
      <c r="I8" s="101" t="s">
        <v>275</v>
      </c>
      <c r="J8" s="160"/>
      <c r="K8" s="160"/>
      <c r="M8" s="123"/>
    </row>
    <row r="9" spans="1:15" s="90" customFormat="1" ht="31.5">
      <c r="A9" s="96" t="s">
        <v>7</v>
      </c>
      <c r="B9" s="108" t="s">
        <v>348</v>
      </c>
      <c r="C9" s="109" t="s">
        <v>8</v>
      </c>
      <c r="D9" s="110">
        <f>VLOOKUP(C9,References!D:E,2,FALSE)</f>
        <v>1</v>
      </c>
      <c r="E9" s="133"/>
      <c r="F9" s="103"/>
      <c r="G9" s="151" t="str">
        <f>HYPERLINK("https://aegonna.sharepoint.com/:x:/r/sites/TA-ProjectMethodology/_layouts/15/Doc.aspx?sourcedoc=%7BB2A86D3C-C120-4C87-9F1D-1591EEE31E5F%7D&amp;file=SDLC%202.0%20Checklist%20and%20RACI.xlsx&amp;action=default&amp;mobileredirect=true","TA SDLC Checklist (2025)")</f>
        <v>TA SDLC Checklist (2025)</v>
      </c>
      <c r="H9" s="160" t="str">
        <f t="shared" ref="H9:H18" si="0">CONCATENATE("=hyperlink(""",M9,""",""",I9,""")")</f>
        <v>=hyperlink("https://aegonna.sharepoint.com/:x:/r/sites/TA-ProjectMethodology/_layouts/15/Doc.aspx?sourcedoc=%7BB2A86D3C-C120-4C87-9F1D-1591EEE31E5F%7D&amp;file=SDLC%202.0%20Checklist%20and%20RACI.xlsx&amp;action=default&amp;mobileredirect=true","TA SDLC Checklist (2025)")</v>
      </c>
      <c r="I9" s="91" t="s">
        <v>257</v>
      </c>
      <c r="J9" s="160" t="str">
        <f>HYPERLINK("https://aegon.sharepoint.com/sites/CC-PolicyHouseGroup-10099/Shared%20Documents/Software%20Development%20Lifecycle%20Standard.pdf","Global SDLC Standard (2026)")</f>
        <v>Global SDLC Standard (2026)</v>
      </c>
      <c r="K9" s="160" t="str">
        <f>CONCATENATE("=hyperlink(""",M9,""",""",L9,""")")</f>
        <v>=hyperlink("https://aegonna.sharepoint.com/:x:/r/sites/TA-ProjectMethodology/_layouts/15/Doc.aspx?sourcedoc=%7BB2A86D3C-C120-4C87-9F1D-1591EEE31E5F%7D&amp;file=SDLC%202.0%20Checklist%20and%20RACI.xlsx&amp;action=default&amp;mobileredirect=true","Global SDLC Standard (2026)")</v>
      </c>
      <c r="L9" s="154" t="str">
        <f>HYPERLINK("https://aegonna.sharepoint.com/:x:/r/sites/TA-ProjectMethodology/_layouts/15/Doc.aspx?sourcedoc=%7BB2A86D3C-C120-4C87-9F1D-1591EEE31E5F%7D&amp;file=SDLC%202.0%20Checklist%20and%20RACI.xlsx&amp;action=default&amp;mobileredirect=true","Global SDLC Standard (2026)")</f>
        <v>Global SDLC Standard (2026)</v>
      </c>
      <c r="M9" s="157" t="s">
        <v>374</v>
      </c>
      <c r="N9" s="115" t="s">
        <v>378</v>
      </c>
    </row>
    <row r="10" spans="1:15" s="90" customFormat="1">
      <c r="A10" s="96" t="s">
        <v>7</v>
      </c>
      <c r="B10" s="111" t="s">
        <v>169</v>
      </c>
      <c r="C10" s="103" t="s">
        <v>40</v>
      </c>
      <c r="D10" s="99">
        <f>VLOOKUP(C10,References!H:I,2,FALSE)</f>
        <v>1</v>
      </c>
      <c r="E10" s="123"/>
      <c r="F10" s="107"/>
      <c r="G10" s="160" t="str">
        <f>HYPERLINK("https://aegonna.sharepoint.com/sites/GTS-GlobalARB/SitePages/Aegon-Global-Architecture-Principles.aspx?csf=1&amp;web=1&amp;e=qScbqN","Enterprise Architecture Principles (2025)")</f>
        <v>Enterprise Architecture Principles (2025)</v>
      </c>
      <c r="H10" s="160" t="str">
        <f t="shared" si="0"/>
        <v>=hyperlink("https://aegonna.sharepoint.com/sites/GTS-GlobalARB/SitePages/Aegon-Global-Architecture-Principles.aspx?csf=1&amp;web=1&amp;e=qScbqN","Enterprise Architecture Principles (2025)")</v>
      </c>
      <c r="I10" s="112" t="s">
        <v>280</v>
      </c>
      <c r="J10" s="160"/>
      <c r="K10" s="160"/>
      <c r="M10" s="153" t="s">
        <v>377</v>
      </c>
    </row>
    <row r="11" spans="1:15" s="90" customFormat="1" ht="31.5">
      <c r="A11" s="96" t="s">
        <v>7</v>
      </c>
      <c r="B11" s="85" t="s">
        <v>246</v>
      </c>
      <c r="C11" s="103" t="s">
        <v>40</v>
      </c>
      <c r="D11" s="99">
        <f>VLOOKUP(C11,References!H:I,2,FALSE)</f>
        <v>1</v>
      </c>
      <c r="E11" s="123"/>
      <c r="F11" s="113"/>
      <c r="G11" s="157" t="str">
        <f>HYPERLINK("https://learn.microsoft.com/en-us/azure/well-architected/","https://learn.microsoft.com/en-us/azure/well-architected/")</f>
        <v>https://learn.microsoft.com/en-us/azure/well-architected/</v>
      </c>
      <c r="H11" s="160" t="str">
        <f t="shared" si="0"/>
        <v>=hyperlink("https://learn.microsoft.com/en-us/azure/well-architected/","https://learn.microsoft.com/en-us/azure/well-architected/")</v>
      </c>
      <c r="I11" s="71" t="s">
        <v>221</v>
      </c>
      <c r="J11" s="160" t="str">
        <f>HYPERLINK("https://aws.amazon.com/architecture/well-architected/","https://aws.amazon.com/architecture/well-architected/")</f>
        <v>https://aws.amazon.com/architecture/well-architected/</v>
      </c>
      <c r="K11" s="160" t="str">
        <f>CONCATENATE("=hyperlink(""",N11,""",""",L11,""")")</f>
        <v>=hyperlink("https://aws.amazon.com/architecture/well-architected/","https://aws.amazon.com/architecture/well-architected/")</v>
      </c>
      <c r="L11" s="71" t="s">
        <v>220</v>
      </c>
      <c r="M11" s="71" t="s">
        <v>221</v>
      </c>
      <c r="N11" s="71" t="s">
        <v>220</v>
      </c>
    </row>
    <row r="12" spans="1:15" s="90" customFormat="1" ht="31.5">
      <c r="A12" s="96" t="s">
        <v>7</v>
      </c>
      <c r="B12" s="111" t="s">
        <v>170</v>
      </c>
      <c r="C12" s="103" t="s">
        <v>8</v>
      </c>
      <c r="D12" s="99">
        <f>VLOOKUP(C12,References!D:E,2,FALSE)</f>
        <v>1</v>
      </c>
      <c r="E12" s="123"/>
      <c r="F12" s="107"/>
      <c r="G12" s="157" t="str">
        <f>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f>
        <v>Global Free &amp; Open Source Software (FOSS) Guidance (2025)</v>
      </c>
      <c r="H12" s="160" t="str">
        <f t="shared" si="0"/>
        <v>=hyperlink("https://aegonna.sharepoint.com/:p:/r/sites/GTS-GlobalARB/_layouts/15/Doc.aspx?sourcedoc=%7BAE7A5AE2-DEE6-431B-B2DC-41F5F2E2B6B9%7D&amp;file=Global%20Free%20&amp;%20Open%20Source%20Software%20(FOSS)%20Guidance.pptx=&amp;action=edit&amp;mobileredirect=true","Global Free &amp; Open Source Software (FOSS) Guidance (2025)")</v>
      </c>
      <c r="I12" s="71" t="s">
        <v>281</v>
      </c>
      <c r="J12" s="160"/>
      <c r="K12" s="160"/>
      <c r="M12" s="155" t="s">
        <v>379</v>
      </c>
    </row>
    <row r="13" spans="1:15" s="90" customFormat="1" ht="31.5">
      <c r="A13" s="96" t="s">
        <v>7</v>
      </c>
      <c r="B13" s="97" t="s">
        <v>249</v>
      </c>
      <c r="C13" s="109" t="s">
        <v>40</v>
      </c>
      <c r="D13" s="99">
        <f>VLOOKUP(C13,References!D:E,2,FALSE)</f>
        <v>1</v>
      </c>
      <c r="E13" s="123"/>
      <c r="F13" s="114"/>
      <c r="G13" s="157" t="str">
        <f>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f>
        <v>Global Logging, Monitoring, Observability &amp; Alerting Guidance (2025)</v>
      </c>
      <c r="H13" s="160" t="str">
        <f t="shared" si="0"/>
        <v>=hyperlink("https://aegonna.sharepoint.com/:w:/r/sites/GTS-GlobalARB/Aegon%20Global%20Architecture%20Policies%20and%20Standards/Global%20Logging,%20Monitoring,%20Observability%20%26%20Alerting%20Guidance.docx?d=w7489c70f511f4ad3a0705b1da976f51f&amp;csf=1&amp;web=1&amp;e=fnstw3","Global Logging, Monitoring, Observability &amp; Alerting Guidance (2025)")</v>
      </c>
      <c r="I13" s="115" t="s">
        <v>282</v>
      </c>
      <c r="J13" s="160"/>
      <c r="K13" s="160"/>
      <c r="M13" s="155" t="s">
        <v>380</v>
      </c>
    </row>
    <row r="14" spans="1:15" s="90" customFormat="1" ht="63">
      <c r="A14" s="96" t="s">
        <v>7</v>
      </c>
      <c r="B14" s="97" t="s">
        <v>369</v>
      </c>
      <c r="C14" s="143" t="s">
        <v>118</v>
      </c>
      <c r="D14" s="99">
        <f>VLOOKUP(C14,References!S:T,2,FALSE)</f>
        <v>1</v>
      </c>
      <c r="E14" s="123"/>
      <c r="F14" s="114" t="s">
        <v>373</v>
      </c>
      <c r="G14" s="157" t="str">
        <f>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f>
        <v>Architecture Resiliency Tier &amp; Design Criteria Assessment</v>
      </c>
      <c r="H14" s="160" t="str">
        <f t="shared" si="0"/>
        <v>=hyperlink("https://aegonna.sharepoint.com/:x:/r/sites/GEA/Templates/In%20Review/Architecture%20Resiliency%20Tier%20%26%20Design%20Criteria%20Assessment.xlsx?d=wdd5b89f510324f1f8e413e7b59c78c29&amp;csf=1&amp;web=1&amp;e=KsRIX9","Architecture Resiliency Tier &amp; Design Criteria Assessment")</v>
      </c>
      <c r="I14" s="139" t="s">
        <v>368</v>
      </c>
      <c r="J14" s="160" t="str">
        <f>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f>
        <v>Global Resiliency Tiers &amp; Design Criteria</v>
      </c>
      <c r="K14" s="160" t="str">
        <f>CONCATENATE("=hyperlink(""",N14,""",""",L14,""")")</f>
        <v>=hyperlink("https://aegonna.sharepoint.com/:p:/r/sites/GTS-GlobalARB/Aegon%20Global%20Architecture%20Policies%20and%20Standards/Global%20Resiliency%20Tiers%20and%20Design%20Guidance.pptx?d=w0670e2b0a05a42e98a99d6b0ee3d5a1b&amp;csf=1&amp;web=1&amp;e=Bsj0ee","Global Resiliency Tiers &amp; Design Criteria")</v>
      </c>
      <c r="L14" s="71" t="s">
        <v>370</v>
      </c>
      <c r="M14" s="155" t="s">
        <v>381</v>
      </c>
      <c r="N14" s="115" t="s">
        <v>386</v>
      </c>
    </row>
    <row r="15" spans="1:15" s="90" customFormat="1" ht="31.5">
      <c r="A15" s="96" t="s">
        <v>7</v>
      </c>
      <c r="B15" s="101" t="s">
        <v>245</v>
      </c>
      <c r="C15" s="116" t="s">
        <v>8</v>
      </c>
      <c r="D15" s="99">
        <f>VLOOKUP(C15,References!H:I,2,FALSE)</f>
        <v>1</v>
      </c>
      <c r="E15" s="123"/>
      <c r="F15" s="117" t="s">
        <v>244</v>
      </c>
      <c r="G15" s="91" t="str">
        <f>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f>
        <v>Global Resource Tagging Standards (2025)</v>
      </c>
      <c r="H15" s="160" t="str">
        <f t="shared" si="0"/>
        <v>=hyperlink("https://aegonna.sharepoint.com/:w:/r/sites/GTS-GlobalARB/Aegon%20Global%20Architecture%20Policies%20and%20Standards/Global%20Resource%20Tagging%20Standard.docx?d=w2d1b853fcbfe4e6cbf13d55a50fdaeb2&amp;csf=1&amp;web=1&amp;e=j7C6HU","Global Resource Tagging Standards (2025)")</v>
      </c>
      <c r="I15" s="138" t="s">
        <v>283</v>
      </c>
      <c r="J15" s="160"/>
      <c r="K15" s="160"/>
      <c r="M15" s="158" t="s">
        <v>382</v>
      </c>
    </row>
    <row r="16" spans="1:15" ht="47.25">
      <c r="A16" s="1" t="s">
        <v>7</v>
      </c>
      <c r="B16" s="5" t="s">
        <v>293</v>
      </c>
      <c r="C16" s="103" t="s">
        <v>8</v>
      </c>
      <c r="D16" s="99">
        <f>VLOOKUP(C16,References!D:E,2,FALSE)</f>
        <v>1</v>
      </c>
      <c r="E16" s="134"/>
      <c r="G16" s="156" t="str">
        <f>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f>
        <v>Global EA Metamodel Guidance (2025)</v>
      </c>
      <c r="H16" s="160" t="str">
        <f t="shared" si="0"/>
        <v>=hyperlink("https://aegonna.sharepoint.com/:w:/r/sites/GTS-GlobalARB/Aegon%20Global%20Architecture%20Policies%20and%20Standards/Global%20Enterprise%20Architecture%20Metamodel%20Guidance.docx?d=w9bfb1f296d0142d89c35e70f1ef9a6da&amp;csf=1&amp;web=1&amp;e=W0CUsA","Global EA Metamodel Guidance (2025)")</v>
      </c>
      <c r="I16" s="139" t="s">
        <v>317</v>
      </c>
      <c r="J16" s="160"/>
      <c r="K16" s="160"/>
      <c r="M16" s="156" t="s">
        <v>383</v>
      </c>
    </row>
    <row r="17" spans="1:15" s="90" customFormat="1" ht="47.25">
      <c r="A17" s="96" t="s">
        <v>7</v>
      </c>
      <c r="B17" s="106" t="s">
        <v>332</v>
      </c>
      <c r="C17" s="116" t="s">
        <v>8</v>
      </c>
      <c r="D17" s="99">
        <f>VLOOKUP(C17,References!H:I,2,FALSE)</f>
        <v>1</v>
      </c>
      <c r="E17" s="123"/>
      <c r="F17" s="107"/>
      <c r="G17" s="153" t="str">
        <f>HYPERLINK("https://aegonna.sharepoint.com/sites/GEA/SitePages/Architecture-Documents.aspx","ET Architecture Repository")</f>
        <v>ET Architecture Repository</v>
      </c>
      <c r="H17" s="160" t="str">
        <f t="shared" si="0"/>
        <v>=hyperlink("https://aegonna.sharepoint.com/sites/GEA/SitePages/Architecture-Documents.aspx","ET Architecture Repository")</v>
      </c>
      <c r="I17" s="140" t="s">
        <v>242</v>
      </c>
      <c r="J17" s="160"/>
      <c r="K17" s="160" t="str">
        <f>CONCATENATE("=hyperlink(""",M17,""",""",L17,""")")</f>
        <v>=hyperlink("https://aegonna.sharepoint.com/sites/GEA/SitePages/Architecture-Documents.aspx","Global Architecture Repository")</v>
      </c>
      <c r="L17" s="139" t="str">
        <f>HYPERLINK("https://aegonna.sharepoint.com/sites/GEA/SitePages/Architecture-Documents.aspx","Global Architecture Repository")</f>
        <v>Global Architecture Repository</v>
      </c>
      <c r="M17" s="153" t="s">
        <v>384</v>
      </c>
      <c r="N17" s="139" t="s">
        <v>387</v>
      </c>
      <c r="O17" s="139" t="s">
        <v>243</v>
      </c>
    </row>
    <row r="18" spans="1:15" s="90" customFormat="1" ht="31.5">
      <c r="A18" s="96" t="s">
        <v>7</v>
      </c>
      <c r="B18" s="106" t="s">
        <v>333</v>
      </c>
      <c r="C18" s="116" t="s">
        <v>8</v>
      </c>
      <c r="D18" s="99">
        <f>VLOOKUP(C18,References!H:I,2,FALSE)</f>
        <v>1</v>
      </c>
      <c r="E18" s="123"/>
      <c r="F18" s="116" t="s">
        <v>345</v>
      </c>
      <c r="G18" s="151" t="str">
        <f>HYPERLINK("https://aegon.service-now.com/now/nav/ui/classic/params/target/cmdb_ci_business_app_list.do","CMDB")</f>
        <v>CMDB</v>
      </c>
      <c r="H18" s="160" t="str">
        <f t="shared" si="0"/>
        <v>=hyperlink("https://aegon.service-now.com/now/nav/ui/classic/params/target/cmdb_ci_business_app_list.do","CMDB")</v>
      </c>
      <c r="I18" s="115" t="s">
        <v>212</v>
      </c>
      <c r="J18" s="160"/>
      <c r="K18" s="160" t="str">
        <f>CONCATENATE("=hyperlink(""",M18,""",""",L18,""")")</f>
        <v>=hyperlink("https://aegon.service-now.com/now/nav/ui/classic/params/target/cmdb_ci_business_app_list.do","Global Minimum Security Requirements by App Risk Rating (2025)")</v>
      </c>
      <c r="L18" s="115" t="str">
        <f>HYPERLINK("https://aegon.service-now.com/now/nav/ui/classic/params/target/cmdb_ci_business_app_list.do","Global Minimum Security Requirements by App Risk Rating (2025)")</f>
        <v>Global Minimum Security Requirements by App Risk Rating (2025)</v>
      </c>
      <c r="M18" s="155" t="s">
        <v>385</v>
      </c>
      <c r="N18" s="115" t="s">
        <v>388</v>
      </c>
    </row>
    <row r="19" spans="1:15">
      <c r="I19" s="101"/>
      <c r="J19" s="101"/>
      <c r="K19" s="101"/>
    </row>
  </sheetData>
  <sheetProtection sheet="1" formatColumns="0" formatRows="0" insertColumns="0" insertRows="0" sort="0"/>
  <mergeCells count="1">
    <mergeCell ref="G2:O2"/>
  </mergeCells>
  <conditionalFormatting sqref="D1">
    <cfRule type="cellIs" dxfId="31" priority="18" operator="between">
      <formula>0.9</formula>
      <formula>1</formula>
    </cfRule>
    <cfRule type="cellIs" dxfId="30" priority="19" operator="between">
      <formula>0</formula>
      <formula>0.899</formula>
    </cfRule>
  </conditionalFormatting>
  <conditionalFormatting sqref="D3:D18">
    <cfRule type="cellIs" dxfId="29" priority="1" stopIfTrue="1" operator="lessThan">
      <formula>0.5</formula>
    </cfRule>
    <cfRule type="cellIs" dxfId="28" priority="2" operator="lessThan">
      <formula>0.9</formula>
    </cfRule>
  </conditionalFormatting>
  <dataValidations count="1">
    <dataValidation type="list" allowBlank="1" showInputMessage="1" showErrorMessage="1" sqref="C147:C1048576" xr:uid="{FB458775-7CD0-4918-9B63-D7129B961CF0}">
      <formula1>$W$2:$W$3</formula1>
    </dataValidation>
  </dataValidations>
  <hyperlinks>
    <hyperlink ref="I10" r:id="rId1" xr:uid="{BC67122D-DE8E-450A-A96C-91AFFD3EED41}"/>
    <hyperlink ref="I11" r:id="rId2" xr:uid="{2D9DE43F-0B6A-4C3D-8BA6-9535901AA1F3}"/>
    <hyperlink ref="I12" r:id="rId3" display="../../../../:p:/r/sites/GTS-GlobalARB/Aegon Global Architecture Policies and Standards/Global Free %26 Open Source Software (FOSS) Guidance.pptx?d=wae7a5ae2dee6431bb2dc41f5f2e2b6b9&amp;csf=1&amp;web=1&amp;e=Llc0HN" xr:uid="{D775AD44-E69B-45C7-A9A6-330D353AE666}"/>
    <hyperlink ref="I3" r:id="rId4" xr:uid="{43F94FDE-40E0-C74C-94B4-280F4893E1C4}"/>
    <hyperlink ref="I4" r:id="rId5" display="../../../../:p:/r/sites/GEA/Templates/In Review/2026 Enterprise Technology ARB Charter %26 Architecture Processes Overview.pptx?d=w751dcb168e6d4cc5bd0a17ac94837e7c&amp;csf=1&amp;web=1&amp;e=AM6hRW" xr:uid="{31C25189-305B-084B-984A-63B0928B9CBB}"/>
    <hyperlink ref="I9" r:id="rId6" display="SDLC Checklist" xr:uid="{0630F2C5-15E7-C640-90A5-978AD949636F}"/>
    <hyperlink ref="I16" r:id="rId7" xr:uid="{E0B7E909-D0BB-ED46-8D5E-A616A17810F9}"/>
    <hyperlink ref="I18" r:id="rId8" display="https://aegon.service-now.com/now/nav/ui/classic/params/target/cmdb_ci_business_app_list.do" xr:uid="{6316016A-B870-413B-B3C6-9E98141EFB01}"/>
    <hyperlink ref="N17" r:id="rId9" xr:uid="{A548FAD0-8531-4C73-AC56-1A5C2C0D4AE2}"/>
    <hyperlink ref="I17" r:id="rId10" xr:uid="{1C387B49-E348-4F04-BB55-9DA5BAE3EF64}"/>
    <hyperlink ref="I15" r:id="rId11" xr:uid="{49347E4E-806E-470A-A124-B3081216363D}"/>
    <hyperlink ref="I6" r:id="rId12" display="../../../GTS-GlobalARB/Lists/Aegon Global ARB Calendar and Decisions/DispForm.aspx?ID=61&amp;e=FC2qCV" xr:uid="{9EB489C9-A22B-40BB-A63C-A8A22E5B7384}"/>
    <hyperlink ref="I13" r:id="rId13" xr:uid="{BF71DDD2-B786-4C4E-9B35-A1C0376FE39E}"/>
    <hyperlink ref="I14" r:id="rId14" xr:uid="{0B401895-B236-479E-8A14-84866E556ED4}"/>
    <hyperlink ref="L14" r:id="rId15" xr:uid="{341AB56E-7624-3B4B-BE2A-81021F3B7384}"/>
    <hyperlink ref="N9" r:id="rId16" xr:uid="{F51D450C-C3BE-4966-B474-5CF8BD39A426}"/>
    <hyperlink ref="M9" r:id="rId17" xr:uid="{7DB4AA5D-8B7A-4199-A6BE-8AB6C2239D9F}"/>
    <hyperlink ref="M3" r:id="rId18" xr:uid="{877878B9-C0AF-4BF8-B3FA-C192079197C3}"/>
    <hyperlink ref="M4" r:id="rId19" xr:uid="{B916A982-C26D-46F5-A9AD-A849C850DE87}"/>
    <hyperlink ref="M6" r:id="rId20" xr:uid="{7AC6A036-B962-4CDA-BF65-F26DDE8A0CE9}"/>
    <hyperlink ref="M10" r:id="rId21" xr:uid="{FEEB6ACA-0E81-4075-B4D4-C872810E3965}"/>
    <hyperlink ref="M12" r:id="rId22" xr:uid="{C7122FA7-5236-427D-9AA7-B6084BCC1AAF}"/>
    <hyperlink ref="M13" r:id="rId23" xr:uid="{AD6BE2F3-F464-478C-AAB4-2B8B4EB5B017}"/>
    <hyperlink ref="M14" r:id="rId24" xr:uid="{BB67B1EE-50B3-4760-8A26-F0A2C1179A4E}"/>
    <hyperlink ref="M15" r:id="rId25" xr:uid="{971BA3A9-EC73-49E7-9FD8-C5B159A485B0}"/>
    <hyperlink ref="M16" r:id="rId26" xr:uid="{304C47C9-D6CA-448A-9860-BD1790B5F0DF}"/>
    <hyperlink ref="M17" r:id="rId27" xr:uid="{1A594271-7C21-4850-95E9-EE25D10A3BDB}"/>
    <hyperlink ref="M18" r:id="rId28" xr:uid="{794C934A-9619-4921-BAD6-0F266B674F2F}"/>
    <hyperlink ref="L11" r:id="rId29" xr:uid="{3D0BE812-878D-46D8-978D-67303A8A6612}"/>
    <hyperlink ref="L18" r:id="rId30" display="../../../../:p:/s/GEA/cQr7F2hx5WGuQ7YvZOjTlEATEgUAegZ3q5TiBVPlY7cEx_fJkw" xr:uid="{F8247644-163A-4746-9FFB-6CCCE4628DEA}"/>
    <hyperlink ref="L17" r:id="rId31" display="Global Architecture Repository" xr:uid="{5526CA51-5E7C-4017-B63A-759128CC6852}"/>
    <hyperlink ref="L9" r:id="rId32" display="Global SDLC Standard (2026)" xr:uid="{2CEA05C2-71BD-47CA-A020-A6E908F9EDDA}"/>
    <hyperlink ref="N14" r:id="rId33" xr:uid="{99960847-0311-4117-9DA2-C70268A2C505}"/>
    <hyperlink ref="O17" r:id="rId34" xr:uid="{A2C99793-61D7-447C-8405-7B46D3C2DD04}"/>
    <hyperlink ref="N18" r:id="rId35" xr:uid="{AAA77BD5-BCC5-42FC-9377-6B655BE7127C}"/>
    <hyperlink ref="M11" r:id="rId36" xr:uid="{8868CE8D-8D1C-4354-93F2-93C2BBFF871D}"/>
    <hyperlink ref="N11" r:id="rId37" xr:uid="{86B190E7-562F-4BEC-9A1F-E277B981443F}"/>
  </hyperlinks>
  <pageMargins left="0.7" right="0.7" top="0.75" bottom="0.75" header="0.3" footer="0.3"/>
  <pageSetup orientation="portrait" r:id="rId38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427C3C88-4957-47AD-8ABF-02061B265A60}">
          <x14:formula1>
            <xm:f>References!$D$4:$D$20</xm:f>
          </x14:formula1>
          <xm:sqref>C9 C6 C12:C13 C16</xm:sqref>
        </x14:dataValidation>
        <x14:dataValidation type="list" allowBlank="1" showInputMessage="1" showErrorMessage="1" xr:uid="{CB4F83D8-8267-45FC-80C3-B1A06673CEAB}">
          <x14:formula1>
            <xm:f>References!$H$4:$H$20</xm:f>
          </x14:formula1>
          <xm:sqref>C10:C11</xm:sqref>
        </x14:dataValidation>
        <x14:dataValidation type="list" allowBlank="1" showInputMessage="1" showErrorMessage="1" xr:uid="{C7B4523E-7A74-4F5E-A93E-31079A9E6979}">
          <x14:formula1>
            <xm:f>References!$J$4:$J$21</xm:f>
          </x14:formula1>
          <xm:sqref>C5</xm:sqref>
        </x14:dataValidation>
        <x14:dataValidation type="list" allowBlank="1" showInputMessage="1" showErrorMessage="1" xr:uid="{7A857CF4-0AA2-42B0-9F24-B769858BCBDA}">
          <x14:formula1>
            <xm:f>References!$N$4:$N$20</xm:f>
          </x14:formula1>
          <xm:sqref>C4</xm:sqref>
        </x14:dataValidation>
        <x14:dataValidation type="list" allowBlank="1" showInputMessage="1" showErrorMessage="1" xr:uid="{8CB995C4-AD01-4DDE-A5DA-F456B4EDF97F}">
          <x14:formula1>
            <xm:f>References!$P$4:$P$20</xm:f>
          </x14:formula1>
          <xm:sqref>C3</xm:sqref>
        </x14:dataValidation>
        <x14:dataValidation type="list" allowBlank="1" showInputMessage="1" showErrorMessage="1" xr:uid="{D2DBBDC7-9707-4BF6-AB13-93DD6896A5F0}">
          <x14:formula1>
            <xm:f>References!$S$4:$S$20</xm:f>
          </x14:formula1>
          <xm:sqref>C16</xm:sqref>
        </x14:dataValidation>
        <x14:dataValidation type="list" allowBlank="1" showInputMessage="1" showErrorMessage="1" xr:uid="{3033BB40-F836-894A-BBCE-400532EBE360}">
          <x14:formula1>
            <xm:f>References!$AM$4:$AM$30</xm:f>
          </x14:formula1>
          <xm:sqref>C8</xm:sqref>
        </x14:dataValidation>
        <x14:dataValidation type="list" allowBlank="1" showInputMessage="1" showErrorMessage="1" xr:uid="{EB456841-E6B7-4A97-BAAD-DF9FC399D4B0}">
          <x14:formula1>
            <xm:f>References!$AK$4:$AK$30</xm:f>
          </x14:formula1>
          <xm:sqref>C7</xm:sqref>
        </x14:dataValidation>
        <x14:dataValidation type="list" allowBlank="1" showInputMessage="1" showErrorMessage="1" xr:uid="{C626C842-1A61-5948-83B6-2BA0A9D4E806}">
          <x14:formula1>
            <xm:f>References!$H$4:$H$7</xm:f>
          </x14:formula1>
          <xm:sqref>C17:C18 C15</xm:sqref>
        </x14:dataValidation>
        <x14:dataValidation type="list" allowBlank="1" showInputMessage="1" showErrorMessage="1" xr:uid="{653230C9-6296-498B-A4F1-86C1C75EFD81}">
          <x14:formula1>
            <xm:f>References!$S$4:$S$11</xm:f>
          </x14:formula1>
          <xm:sqref>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CBA5-8731-46B6-B448-C1DD0E076BCC}">
  <dimension ref="A1:K9"/>
  <sheetViews>
    <sheetView zoomScale="115" zoomScaleNormal="115" workbookViewId="0">
      <pane xSplit="1" ySplit="2" topLeftCell="B5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0.625" defaultRowHeight="15.75"/>
  <cols>
    <col min="1" max="1" width="17.625" style="1" customWidth="1"/>
    <col min="2" max="2" width="61.625" style="5" customWidth="1"/>
    <col min="3" max="3" width="31.625" style="144" customWidth="1"/>
    <col min="4" max="4" width="13.625" style="2" customWidth="1"/>
    <col min="5" max="5" width="46.875" style="30" customWidth="1"/>
    <col min="6" max="6" width="46.875" style="4" customWidth="1"/>
    <col min="7" max="7" width="52" style="5" customWidth="1"/>
    <col min="8" max="8" width="54.5" style="1" hidden="1" customWidth="1"/>
    <col min="9" max="9" width="25.125" style="1" hidden="1" customWidth="1"/>
    <col min="10" max="11" width="0" style="1" hidden="1" customWidth="1"/>
    <col min="12" max="16384" width="10.625" style="1"/>
  </cols>
  <sheetData>
    <row r="1" spans="1:11" ht="16.5" thickBot="1">
      <c r="A1" s="1" t="s">
        <v>372</v>
      </c>
      <c r="C1" s="141"/>
      <c r="D1" s="28">
        <f>SUM(D3:D9)/COUNT(D3:D9)</f>
        <v>1</v>
      </c>
    </row>
    <row r="2" spans="1:11" s="16" customFormat="1" ht="31.5">
      <c r="A2" s="61" t="s">
        <v>1</v>
      </c>
      <c r="B2" s="62" t="s">
        <v>3</v>
      </c>
      <c r="C2" s="161" t="s">
        <v>4</v>
      </c>
      <c r="D2" s="59" t="s">
        <v>158</v>
      </c>
      <c r="E2" s="142" t="s">
        <v>278</v>
      </c>
      <c r="F2" s="62" t="s">
        <v>258</v>
      </c>
      <c r="G2" s="179" t="s">
        <v>239</v>
      </c>
      <c r="H2" s="180"/>
      <c r="I2" s="180"/>
    </row>
    <row r="3" spans="1:11" s="90" customFormat="1" ht="63">
      <c r="A3" s="90" t="s">
        <v>349</v>
      </c>
      <c r="B3" s="101" t="s">
        <v>341</v>
      </c>
      <c r="C3" s="103" t="s">
        <v>40</v>
      </c>
      <c r="D3" s="99">
        <f>VLOOKUP(C3,References!D:E,2,FALSE)</f>
        <v>1</v>
      </c>
      <c r="E3" s="135"/>
      <c r="F3" s="100"/>
      <c r="G3" s="66" t="s">
        <v>284</v>
      </c>
      <c r="H3" s="115" t="s">
        <v>390</v>
      </c>
      <c r="I3" s="115" t="str">
        <f>HYPERLINK(H3,G3)</f>
        <v>OnePlatform File Service (2025)</v>
      </c>
      <c r="J3" s="90" t="str">
        <f>CONCATENATE("=hyperlink(""",H3,""",""",G3,""")")</f>
        <v>=hyperlink("https://aegonna.sharepoint.com/:w:/r/sites/TechnologySharedPlatform/Public/One%20Platform%20Services/7.%20File%20Service/User%20Guide.docx?d=wf54f72207c4348daab25f4d502df0be9&amp;csf=1&amp;web=1&amp;e=lJKh6e","OnePlatform File Service (2025)")</v>
      </c>
      <c r="K3" s="115" t="str">
        <f>HYPERLINK("https://aegonna.sharepoint.com/:w:/r/sites/TechnologySharedPlatform/Public/One%20Platform%20Services/7.%20File%20Service/User%20Guide.docx?d=wf54f72207c4348daab25f4d502df0be9&amp;csf=1&amp;web=1&amp;e=lJKh6e","OnePlatform File Service (2025)")</f>
        <v>OnePlatform File Service (2025)</v>
      </c>
    </row>
    <row r="4" spans="1:11" ht="47.25">
      <c r="A4" s="90" t="s">
        <v>349</v>
      </c>
      <c r="B4" s="5" t="s">
        <v>340</v>
      </c>
      <c r="C4" s="103" t="s">
        <v>40</v>
      </c>
      <c r="D4" s="99">
        <f>VLOOKUP(C4,References!D:E,2,FALSE)</f>
        <v>1</v>
      </c>
      <c r="G4" s="66" t="s">
        <v>290</v>
      </c>
      <c r="H4" s="1" t="s">
        <v>391</v>
      </c>
      <c r="I4" s="115" t="str">
        <f t="shared" ref="I4:I9" si="0">HYPERLINK(H4,G4)</f>
        <v>OnePlatform Audit Logging User Guide V4 (2024)</v>
      </c>
      <c r="J4" s="90" t="str">
        <f t="shared" ref="J4:J9" si="1">CONCATENATE("=hyperlink(""",H4,""",""",G4,""")")</f>
        <v>=hyperlink("https://aegonna.sharepoint.com/:w:/r/sites/TechnologySharedPlatform/Public/One%20Platform%20Services/1.%20Audit%20Service/Oneplatform%20Audit%20Logging%20User%20Guide%20V4.docx?d=wce3b218e963f4448820c3d46c76a1c2a&amp;csf=1&amp;web=1&amp;e=fYLivM","OnePlatform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v>
      </c>
      <c r="K4" s="92" t="str">
        <f>HYPERLINK("https://aegonna.sharepoint.com/:w:/r/sites/TechnologySharedPlatform/Public/One%20Platform%20Services/1.%20Audit%20Service/Oneplatform%20Audit%20Logging%20User%20Guide%20V4.docx?d=wce3b218e963f4448820c3d46c76a1c2a&amp;csf=1&amp;web=1&amp;e=fYLivM","OnePlatform Audit Logging User Guide V4 (2024)")</f>
        <v>OnePlatform Audit Logging User Guide V4 (2024)</v>
      </c>
    </row>
    <row r="5" spans="1:11" ht="63">
      <c r="A5" s="90" t="s">
        <v>349</v>
      </c>
      <c r="B5" s="5" t="s">
        <v>339</v>
      </c>
      <c r="C5" s="103" t="s">
        <v>40</v>
      </c>
      <c r="D5" s="99">
        <f>VLOOKUP(C5,References!D:E,2,FALSE)</f>
        <v>1</v>
      </c>
      <c r="G5" s="66" t="s">
        <v>289</v>
      </c>
      <c r="H5" s="1" t="s">
        <v>392</v>
      </c>
      <c r="I5" s="115" t="str">
        <f t="shared" si="0"/>
        <v>OnePlatform Non-Repudiation Logging User Guide V2 (2023)</v>
      </c>
      <c r="J5" s="90" t="str">
        <f t="shared" si="1"/>
        <v>=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v>
      </c>
      <c r="K5" s="92" t="str">
        <f>HYPERLINK("https://aegonna.sharepoint.com/:w:/r/sites/TechnologySharedPlatform/Public/One%20Platform%20Services/8.%20Non-Repudiation%20Service/Oneplatform%20Non-Repudiation%20Logging%20User%20Guide%20V2.docx?d=w14b65ff341894f4b991fa4484b3a3b67&amp;csf=1&amp;web=1&amp;e=cYYEKX","OnePlatform Non-Repudiation Logging User Guide V2 (2023)")</f>
        <v>OnePlatform Non-Repudiation Logging User Guide V2 (2023)</v>
      </c>
    </row>
    <row r="6" spans="1:11" ht="47.25">
      <c r="A6" s="90" t="s">
        <v>349</v>
      </c>
      <c r="B6" s="5" t="s">
        <v>338</v>
      </c>
      <c r="C6" s="103" t="s">
        <v>40</v>
      </c>
      <c r="D6" s="99">
        <f>VLOOKUP(C6,References!D:E,2,FALSE)</f>
        <v>1</v>
      </c>
      <c r="G6" s="66" t="s">
        <v>288</v>
      </c>
      <c r="H6" s="1" t="s">
        <v>393</v>
      </c>
      <c r="I6" s="115" t="str">
        <f t="shared" si="0"/>
        <v>OnePlatform User Notification Guide (2025)</v>
      </c>
      <c r="J6" s="90" t="str">
        <f t="shared" si="1"/>
        <v>=hyperlink("https://aegonna.sharepoint.com/:w:/r/sites/TechnologySharedPlatform/Public/One%20Platform%20Services/9.%20User%20Notification%20Service/User%20Notification%20Guide.docx?d=we557168aa9154789b15cd99896fa1cdd&amp;csf=1&amp;web=1&amp;e=LZwike","OnePlatform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v>
      </c>
      <c r="K6" s="92" t="str">
        <f>HYPERLINK("https://aegonna.sharepoint.com/:w:/r/sites/TechnologySharedPlatform/Public/One%20Platform%20Services/9.%20User%20Notification%20Service/User%20Notification%20Guide.docx?d=we557168aa9154789b15cd99896fa1cdd&amp;csf=1&amp;web=1&amp;e=LZwike","OnePlatform User Notification Guide (2025)")</f>
        <v>OnePlatform User Notification Guide (2025)</v>
      </c>
    </row>
    <row r="7" spans="1:11" ht="47.25">
      <c r="A7" s="90" t="s">
        <v>349</v>
      </c>
      <c r="B7" s="5" t="s">
        <v>285</v>
      </c>
      <c r="C7" s="103" t="s">
        <v>40</v>
      </c>
      <c r="D7" s="99">
        <f>VLOOKUP(C7,References!D:E,2,FALSE)</f>
        <v>1</v>
      </c>
      <c r="G7" s="66" t="s">
        <v>287</v>
      </c>
      <c r="H7" s="1" t="s">
        <v>394</v>
      </c>
      <c r="I7" s="115" t="str">
        <f t="shared" si="0"/>
        <v>OnePlatform Event Notification Service User Guide v4 (2025)</v>
      </c>
      <c r="J7" s="90" t="str">
        <f t="shared" si="1"/>
        <v>=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v>
      </c>
      <c r="K7" s="92" t="str">
        <f>HYPERLINK("https://aegonna.sharepoint.com/:w:/r/sites/TechnologySharedPlatform/Public/One%20Platform%20Services/6.%20Event%20Notification%20Service/Event%20Notification%20Service%20User%20Guide%20v4.docx?d=we313efda14c34f17a43b2511200ac518&amp;csf=1&amp;web=1&amp;e=8bSIjO","OnePlatform Event Notification Service User Guide v4 (2025)")</f>
        <v>OnePlatform Event Notification Service User Guide v4 (2025)</v>
      </c>
    </row>
    <row r="8" spans="1:11" ht="47.25">
      <c r="A8" s="90" t="s">
        <v>349</v>
      </c>
      <c r="B8" s="5" t="s">
        <v>286</v>
      </c>
      <c r="C8" s="103" t="s">
        <v>40</v>
      </c>
      <c r="D8" s="99">
        <f>VLOOKUP(C8,References!D:E,2,FALSE)</f>
        <v>1</v>
      </c>
      <c r="G8" s="66" t="s">
        <v>362</v>
      </c>
      <c r="H8" s="1" t="s">
        <v>395</v>
      </c>
      <c r="I8" s="115" t="str">
        <f t="shared" si="0"/>
        <v>OnePlatform User Authorization Service (2024)</v>
      </c>
      <c r="J8" s="90" t="str">
        <f t="shared" si="1"/>
        <v>=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v>
      </c>
      <c r="K8" s="92" t="str">
        <f>HYPERLINK("https://aegonna.sharepoint.com/:w:/r/sites/TechnologySharedPlatform/Public/One%20Platform%20Services/2.%20Authorization%20Service/ONE_PLATFORM_USER_AUTHORIZATION_SERVICE_USER_GUIDE.docx?d=wa20e16d56d1e462ea7d7b59ba5d38d5e&amp;csf=1&amp;web=1&amp;e=QuVaGP","OnePlatform User Authorization Service (2024)")</f>
        <v>OnePlatform User Authorization Service (2024)</v>
      </c>
    </row>
    <row r="9" spans="1:11" s="90" customFormat="1" ht="47.25">
      <c r="A9" s="90" t="s">
        <v>349</v>
      </c>
      <c r="B9" s="117" t="s">
        <v>363</v>
      </c>
      <c r="C9" s="109" t="s">
        <v>40</v>
      </c>
      <c r="D9" s="99">
        <f>VLOOKUP(C9,References!D:E,2,FALSE)</f>
        <v>1</v>
      </c>
      <c r="E9" s="132"/>
      <c r="F9" s="100"/>
      <c r="G9" s="71" t="s">
        <v>276</v>
      </c>
      <c r="H9" s="90" t="s">
        <v>396</v>
      </c>
      <c r="I9" s="115" t="str">
        <f t="shared" si="0"/>
        <v>OnePlatform Data Encryption Service User Guide (2022)</v>
      </c>
      <c r="J9" s="90" t="str">
        <f t="shared" si="1"/>
        <v>=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v>
      </c>
      <c r="K9" s="115" t="str">
        <f>HYPERLINK("https://aegonna.sharepoint.com/:w:/r/sites/TechnologySharedPlatform/Public/One%20Platform%20Services/5.%20Data%20Encryption%20Service/Data%20Encryption%20Service%20User%20Guide%20v3.docx?d=wd1c5e8ea80454db995c9db5c47d69ba9&amp;csf=1&amp;web=1&amp;e=9cXkVf","OnePlatform Data Encryption Service User Guide (2022)")</f>
        <v>OnePlatform Data Encryption Service User Guide (2022)</v>
      </c>
    </row>
  </sheetData>
  <sheetProtection sheet="1" formatCells="0" formatColumns="0" formatRows="0" insertColumns="0" insertRows="0" sort="0"/>
  <mergeCells count="1">
    <mergeCell ref="G2:I2"/>
  </mergeCells>
  <conditionalFormatting sqref="D1">
    <cfRule type="cellIs" dxfId="27" priority="3" operator="between">
      <formula>0.9</formula>
      <formula>1</formula>
    </cfRule>
    <cfRule type="cellIs" dxfId="26" priority="4" operator="between">
      <formula>0</formula>
      <formula>0.899</formula>
    </cfRule>
  </conditionalFormatting>
  <conditionalFormatting sqref="D3:D9">
    <cfRule type="cellIs" dxfId="25" priority="1" stopIfTrue="1" operator="lessThan">
      <formula>0.5</formula>
    </cfRule>
    <cfRule type="cellIs" dxfId="24" priority="2" operator="lessThan">
      <formula>0.9</formula>
    </cfRule>
  </conditionalFormatting>
  <dataValidations count="1">
    <dataValidation type="list" allowBlank="1" showInputMessage="1" showErrorMessage="1" sqref="C139:C1048576" xr:uid="{E5DE95B5-88EC-43C4-8EA6-5627E03E5D4C}">
      <formula1>$R$2:$R$2</formula1>
    </dataValidation>
  </dataValidations>
  <hyperlinks>
    <hyperlink ref="G4" r:id="rId1" display="../../../../:w:/r/sites/TechnologySharedPlatform/Public/One Platform Services/1. Audit Service/Oneplatform Audit Logging User Guide V4.docx?d=wce3b218e963f4448820c3d46c76a1c2a&amp;csf=1&amp;web=1&amp;e=fYLivM" xr:uid="{3C7836C9-7BB7-49CE-986C-C06D0632AD6A}"/>
    <hyperlink ref="G3" r:id="rId2" display="../../../../:w:/r/sites/TechnologySharedPlatform/Public/One Platform Services/7. File Service/User Guide.docx?d=wf54f72207c4348daab25f4d502df0be9&amp;csf=1&amp;web=1&amp;e=lJKh6e" xr:uid="{17FD26F8-E0EB-45B6-86D4-987C68FA097A}"/>
    <hyperlink ref="G5" r:id="rId3" display="../../../../:w:/r/sites/TechnologySharedPlatform/Public/One Platform Services/8. Non-Repudiation Service/Oneplatform Non-Repudiation Logging User Guide V2.docx?d=w14b65ff341894f4b991fa4484b3a3b67&amp;csf=1&amp;web=1&amp;e=cYYEKX" xr:uid="{4B01DE26-490F-4ADC-AC02-85001CA2CE6C}"/>
    <hyperlink ref="G6" r:id="rId4" display="../../../../:w:/r/sites/TechnologySharedPlatform/Public/One Platform Services/9. User Notification Service/User Notification Guide.docx?d=we557168aa9154789b15cd99896fa1cdd&amp;csf=1&amp;web=1&amp;e=LZwike" xr:uid="{01738246-EEC2-4247-B338-18017361EB2D}"/>
    <hyperlink ref="G7" r:id="rId5" display="../../../../:w:/r/sites/TechnologySharedPlatform/Public/One Platform Services/6. Event Notification Service/Event Notification Service User Guide v4.docx?d=we313efda14c34f17a43b2511200ac518&amp;csf=1&amp;web=1&amp;e=8bSIjO" xr:uid="{D94EBBF1-F636-4439-8E80-3A1EC5583BCF}"/>
    <hyperlink ref="G8" r:id="rId6" display="../../../../:w:/r/sites/TechnologySharedPlatform/Public/One Platform Services/2. Authorization Service/ONE_PLATFORM_USER_AUTHORIZATION_SERVICE_USER_GUIDE.docx?d=wa20e16d56d1e462ea7d7b59ba5d38d5e&amp;csf=1&amp;web=1&amp;e=QuVaGP" xr:uid="{EBF66107-BF08-4E4E-9193-DDB5EDACDBEA}"/>
    <hyperlink ref="G9" r:id="rId7" display="OnePlatform Data Encryption Service User Guide" xr:uid="{9B00F861-C0AD-4CE9-A314-5FC05D4E2821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6F8897-389A-43DA-A44E-1EB9442B4825}">
          <x14:formula1>
            <xm:f>References!$D$4:$D$20</xm:f>
          </x14:formula1>
          <xm:sqref>C3:C9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7ED-8223-4026-9F36-A7CDAA5A94B7}">
  <sheetPr codeName="Sheet1"/>
  <dimension ref="A1:L9"/>
  <sheetViews>
    <sheetView zoomScale="99" workbookViewId="0">
      <selection activeCell="D7" sqref="D7"/>
    </sheetView>
  </sheetViews>
  <sheetFormatPr defaultColWidth="10.625" defaultRowHeight="15.75"/>
  <cols>
    <col min="1" max="1" width="14" style="4" bestFit="1" customWidth="1"/>
    <col min="2" max="2" width="31.625" style="4" hidden="1" customWidth="1"/>
    <col min="3" max="3" width="54" style="63" customWidth="1"/>
    <col min="4" max="4" width="36.875" style="164" customWidth="1"/>
    <col min="5" max="5" width="7.125" style="2" bestFit="1" customWidth="1"/>
    <col min="6" max="6" width="35" style="30" customWidth="1"/>
    <col min="7" max="7" width="35" style="4" customWidth="1"/>
    <col min="8" max="9" width="61" style="5" customWidth="1"/>
    <col min="10" max="10" width="255.625" style="1" hidden="1" customWidth="1"/>
    <col min="11" max="11" width="37.5" style="1" hidden="1" customWidth="1"/>
    <col min="12" max="13" width="0" style="1" hidden="1" customWidth="1"/>
    <col min="14" max="16384" width="10.625" style="1"/>
  </cols>
  <sheetData>
    <row r="1" spans="1:12" ht="32.85" customHeight="1" thickBot="1">
      <c r="A1" s="4" t="s">
        <v>142</v>
      </c>
      <c r="D1" s="162"/>
      <c r="E1" s="28">
        <f>SUM(E3:E8)/COUNT(E3:E8)</f>
        <v>0.33333333333333331</v>
      </c>
    </row>
    <row r="2" spans="1:12" s="16" customFormat="1" ht="72" customHeight="1">
      <c r="A2" s="58" t="s">
        <v>1</v>
      </c>
      <c r="B2" s="64" t="s">
        <v>2</v>
      </c>
      <c r="C2" s="64" t="s">
        <v>3</v>
      </c>
      <c r="D2" s="163" t="s">
        <v>4</v>
      </c>
      <c r="E2" s="59" t="s">
        <v>158</v>
      </c>
      <c r="F2" s="142" t="s">
        <v>278</v>
      </c>
      <c r="G2" s="93" t="s">
        <v>258</v>
      </c>
      <c r="H2" s="179" t="s">
        <v>157</v>
      </c>
      <c r="I2" s="180"/>
      <c r="J2" s="180"/>
    </row>
    <row r="3" spans="1:12" s="90" customFormat="1" ht="56.1" customHeight="1">
      <c r="A3" s="121" t="s">
        <v>29</v>
      </c>
      <c r="B3" s="122"/>
      <c r="C3" s="120" t="s">
        <v>364</v>
      </c>
      <c r="D3" s="116" t="s">
        <v>60</v>
      </c>
      <c r="E3" s="99">
        <f>VLOOKUP(D3,References!AA:AB,2,FALSE)</f>
        <v>-1</v>
      </c>
      <c r="F3" s="107"/>
      <c r="G3" s="123"/>
      <c r="H3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3" s="115"/>
      <c r="J3" s="115" t="s">
        <v>418</v>
      </c>
      <c r="K3" s="90" t="str">
        <f>CONCATENATE("=hyperlink(""",J3,""",""",H3,""")")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3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4" spans="1:12" s="90" customFormat="1" ht="56.1" customHeight="1">
      <c r="A4" s="121" t="s">
        <v>29</v>
      </c>
      <c r="B4" s="122"/>
      <c r="C4" s="120" t="s">
        <v>320</v>
      </c>
      <c r="D4" s="116" t="s">
        <v>60</v>
      </c>
      <c r="E4" s="99">
        <f>VLOOKUP(D4,References!AC:AD,2,FALSE)</f>
        <v>-1</v>
      </c>
      <c r="F4" s="107"/>
      <c r="G4" s="123"/>
      <c r="H4" s="115" t="str">
        <f>HYPERLINK("https://aegon.service-now.com/asp?id=kb_article_view&amp;sys_kb_id=a386a88ffbbff618247ffcbfbeefdc27","ITCF - Protect - P04.01.02 Information Security Classification Schema - Appendix A (2021)")</f>
        <v>ITCF - Protect - P04.01.02 Information Security Classification Schema - Appendix A (2021)</v>
      </c>
      <c r="I4" s="115"/>
      <c r="J4" s="115" t="s">
        <v>418</v>
      </c>
      <c r="K4" s="90" t="str">
        <f t="shared" ref="K4:K8" si="0">CONCATENATE("=hyperlink(""",J4,""",""",H4,""")")</f>
        <v>=hyperlink("https://aegonna.sharepoint.com/sites/GTS-ICC/Intranet/ITCF/Shared%20Documents/Forms/AllItems.aspx?id=%2Fsites%2FGTS%2DICC%2FIntranet%2FITCF%2FShared%20Documents%2FEnablers%20%26%20Checklists&amp;viewid=99189f90%2Df2b0%2D478b%2Da980%2Df93a529e9b18","ITCF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v>
      </c>
      <c r="L4" s="115" t="str">
        <f>HYPERLINK("https://aegonna.sharepoint.com/sites/GTS-ICC/Intranet/ITCF/Shared%20Documents/Forms/AllItems.aspx?id=%2Fsites%2FGTS%2DICC%2FIntranet%2FITCF%2FShared%20Documents%2FEnablers%20%26%20Checklists&amp;viewid=99189f90%2Df2b0%2D478b%2Da980%2Df93a529e9b18","ITCF - Protect - P04.01.02 Information Security Classification Schema - Appendix A (2021)")</f>
        <v>ITCF - Protect - P04.01.02 Information Security Classification Schema - Appendix A (2021)</v>
      </c>
    </row>
    <row r="5" spans="1:12" s="90" customFormat="1" ht="56.1" customHeight="1">
      <c r="A5" s="121" t="s">
        <v>29</v>
      </c>
      <c r="B5" s="124"/>
      <c r="C5" s="125" t="s">
        <v>236</v>
      </c>
      <c r="D5" s="103" t="s">
        <v>40</v>
      </c>
      <c r="E5" s="99">
        <f>VLOOKUP(D5,References!H:I,2,FALSE)</f>
        <v>1</v>
      </c>
      <c r="F5" s="107"/>
      <c r="G5" s="123"/>
      <c r="H5" s="115" t="str">
        <f>HYPERLINK("https://aegon.sharepoint.com/sites/CC-PolicyHouseGroup-10099/Shared%20Documents/Data%20Management%20Policy.pdf","Data Management Policy (2025)")</f>
        <v>Data Management Policy (2025)</v>
      </c>
      <c r="I5" s="115"/>
      <c r="J5" s="90" t="s">
        <v>397</v>
      </c>
      <c r="K5" s="90" t="str">
        <f t="shared" si="0"/>
        <v>=hyperlink("https://aegon.sharepoint.com/sites/CC-PolicyHouseGroup-10099/Shared%20Documents/Data%20Management%20Policy.pdf","Data Management Policy (2025)")</v>
      </c>
      <c r="L5" s="115" t="str">
        <f>HYPERLINK("https://aegon.sharepoint.com/sites/CC-PolicyHouseGroup-10099/Shared%20Documents/Data%20Management%20Policy.pdf","Data Management Policy (2025)")</f>
        <v>Data Management Policy (2025)</v>
      </c>
    </row>
    <row r="6" spans="1:12" s="90" customFormat="1" ht="56.1" customHeight="1">
      <c r="A6" s="121" t="s">
        <v>337</v>
      </c>
      <c r="B6" s="124"/>
      <c r="C6" s="125" t="s">
        <v>232</v>
      </c>
      <c r="D6" s="103" t="s">
        <v>40</v>
      </c>
      <c r="E6" s="99">
        <f>VLOOKUP(D6,References!H:I,2,FALSE)</f>
        <v>1</v>
      </c>
      <c r="F6" s="107"/>
      <c r="G6" s="123"/>
      <c r="H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  <c r="I6" s="115"/>
      <c r="J6" s="115" t="s">
        <v>419</v>
      </c>
      <c r="K6" s="90" t="str">
        <f t="shared" si="0"/>
        <v>=hyperlink("https://aegonna.sharepoint.com/:b:/r/sites/TA-TAInformationSecurityPoliciesandStandards/Public/Transamerica%20Encryption%20Standards.pdf?csf=1&amp;web=1&amp;e=ehl5EJ","Transamerica Encryption Standards (2025)")</v>
      </c>
      <c r="L6" s="115" t="str">
        <f>HYPERLINK("https://aegonna.sharepoint.com/:b:/r/sites/TA-TAInformationSecurityPoliciesandStandards/Public/Transamerica%20Encryption%20Standards.pdf?csf=1&amp;web=1&amp;e=ehl5EJ","Transamerica Encryption Standards (2025)")</f>
        <v>Transamerica Encryption Standards (2025)</v>
      </c>
    </row>
    <row r="7" spans="1:12" s="90" customFormat="1" ht="56.1" customHeight="1">
      <c r="A7" s="121" t="s">
        <v>29</v>
      </c>
      <c r="B7" s="124"/>
      <c r="C7" s="125" t="s">
        <v>351</v>
      </c>
      <c r="D7" s="103" t="s">
        <v>40</v>
      </c>
      <c r="E7" s="99">
        <f>VLOOKUP(D7,References!H:I,2,FALSE)</f>
        <v>1</v>
      </c>
      <c r="F7" s="107"/>
      <c r="G7" s="123"/>
      <c r="H7" s="115"/>
      <c r="I7" s="115"/>
      <c r="J7" s="115"/>
      <c r="K7" s="90" t="str">
        <f t="shared" si="0"/>
        <v>=hyperlink("","")</v>
      </c>
      <c r="L7" s="115" t="str">
        <f>HYPERLINK("","")</f>
        <v/>
      </c>
    </row>
    <row r="8" spans="1:12" s="90" customFormat="1" ht="56.1" customHeight="1">
      <c r="A8" s="121" t="s">
        <v>29</v>
      </c>
      <c r="B8" s="122"/>
      <c r="C8" s="120" t="s">
        <v>321</v>
      </c>
      <c r="D8" s="143" t="s">
        <v>118</v>
      </c>
      <c r="E8" s="99">
        <f>VLOOKUP(D8,References!S:T,2,FALSE)</f>
        <v>1</v>
      </c>
      <c r="F8" s="123"/>
      <c r="G8" s="97" t="s">
        <v>389</v>
      </c>
      <c r="H8" s="115" t="str">
        <f>HYPERLINK("https://app-de.onetrust.com/auth/login","OneTrust Application")</f>
        <v>OneTrust Application</v>
      </c>
      <c r="I8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  <c r="J8" s="90" t="s">
        <v>398</v>
      </c>
      <c r="K8" s="90" t="str">
        <f t="shared" si="0"/>
        <v>=hyperlink("https://app-de.onetrust.com/auth/login","OneTrust Application")</v>
      </c>
      <c r="L8" s="115" t="str">
        <f>HYPERLINK("https://app-de.onetrust.com/auth/login","OneTrust Application")</f>
        <v>OneTrust Application</v>
      </c>
    </row>
    <row r="9" spans="1:12">
      <c r="I9" s="92"/>
      <c r="J9" s="1" t="s">
        <v>417</v>
      </c>
      <c r="K9" s="90" t="str">
        <f>CONCATENATE("=hyperlink(""",J9,""",""",I8,""")")</f>
        <v>=hyperlink("https://aegonna.sharepoint.com/:p:/r/sites/GEA/Templates/In%20Review/2026%20Enterprise%20Technology%20ARB%20Charter%20%26%20Architecture%20Processes%20Overview.pptx?d=w751dcb168e6d4cc5bd0a17ac94837e7c&amp;csf=1&amp;web=1&amp;e=ZMbkEw","Enterprise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v>
      </c>
      <c r="L9" s="92" t="str">
        <f>HYPERLINK("https://aegonna.sharepoint.com/:p:/r/sites/GEA/Templates/In%20Review/2026%20Enterprise%20Technology%20ARB%20Charter%20%26%20Architecture%20Processes%20Overview.pptx?d=w751dcb168e6d4cc5bd0a17ac94837e7c&amp;csf=1&amp;web=1&amp;e=ZMbkEw","Enterprise Technology ARB Charter - Data Privacy &amp; Protection / Non-Private Data Usage (2026)")</f>
        <v>Enterprise Technology ARB Charter - Data Privacy &amp; Protection / Non-Private Data Usage (2026)</v>
      </c>
    </row>
  </sheetData>
  <sheetProtection sheet="1" objects="1" scenarios="1" formatCells="0" formatColumns="0" formatRows="0" insertColumns="0" insertRows="0" sort="0"/>
  <mergeCells count="1">
    <mergeCell ref="H2:J2"/>
  </mergeCells>
  <phoneticPr fontId="5" type="noConversion"/>
  <conditionalFormatting sqref="E1">
    <cfRule type="cellIs" dxfId="23" priority="7" operator="between">
      <formula>0.9</formula>
      <formula>1</formula>
    </cfRule>
    <cfRule type="cellIs" dxfId="22" priority="8" operator="between">
      <formula>0</formula>
      <formula>0.899</formula>
    </cfRule>
  </conditionalFormatting>
  <conditionalFormatting sqref="E3:E8">
    <cfRule type="cellIs" dxfId="21" priority="1" stopIfTrue="1" operator="lessThan">
      <formula>0.5</formula>
    </cfRule>
    <cfRule type="cellIs" dxfId="20" priority="2" operator="lessThan">
      <formula>0.9</formula>
    </cfRule>
  </conditionalFormatting>
  <dataValidations count="1">
    <dataValidation type="list" allowBlank="1" showInputMessage="1" showErrorMessage="1" sqref="D157:D1048576" xr:uid="{2D096888-2128-4143-8E88-136EBB7F5DDC}">
      <formula1>$T$2:$T$2</formula1>
    </dataValidation>
  </dataValidations>
  <hyperlinks>
    <hyperlink ref="J6" r:id="rId1" xr:uid="{3D3321B4-D189-402C-BFFB-C7CFAB7FF8F9}"/>
  </hyperlink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5E5735-73E1-4A2A-AEE6-9B6CD477D77D}">
          <x14:formula1>
            <xm:f>References!$AA$4:$AA$23</xm:f>
          </x14:formula1>
          <xm:sqref>D3</xm:sqref>
        </x14:dataValidation>
        <x14:dataValidation type="list" allowBlank="1" showInputMessage="1" showErrorMessage="1" xr:uid="{08CA4F90-6819-4AD6-BCCE-D120B597ADC0}">
          <x14:formula1>
            <xm:f>References!$AC$4:$AC$23</xm:f>
          </x14:formula1>
          <xm:sqref>D4</xm:sqref>
        </x14:dataValidation>
        <x14:dataValidation type="list" allowBlank="1" showInputMessage="1" showErrorMessage="1" xr:uid="{05FA18A9-96DA-424F-A604-EA0DDAF56D79}">
          <x14:formula1>
            <xm:f>References!$H$4:$H$20</xm:f>
          </x14:formula1>
          <xm:sqref>D5:D7</xm:sqref>
        </x14:dataValidation>
        <x14:dataValidation type="list" allowBlank="1" showInputMessage="1" showErrorMessage="1" xr:uid="{5442E5BA-429C-BA40-93AD-5EFF5EE71285}">
          <x14:formula1>
            <xm:f>References!$S$4:$S$11</xm:f>
          </x14:formula1>
          <xm:sqref>D8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C5E3-E317-486B-A89F-ADD8EF1C4D6D}">
  <sheetPr codeName="Sheet7"/>
  <dimension ref="A1:L6"/>
  <sheetViews>
    <sheetView workbookViewId="0"/>
  </sheetViews>
  <sheetFormatPr defaultColWidth="10.625" defaultRowHeight="15.75"/>
  <cols>
    <col min="1" max="1" width="8.875" style="1" customWidth="1"/>
    <col min="2" max="2" width="15.5" style="1" hidden="1" customWidth="1"/>
    <col min="3" max="3" width="54" style="5" customWidth="1"/>
    <col min="4" max="4" width="35.125" style="144" customWidth="1"/>
    <col min="5" max="5" width="7.125" style="2" bestFit="1" customWidth="1"/>
    <col min="6" max="6" width="43.875" style="30" customWidth="1"/>
    <col min="7" max="7" width="43.875" style="4" customWidth="1"/>
    <col min="8" max="8" width="56.125" style="5" customWidth="1"/>
    <col min="9" max="10" width="0" style="1" hidden="1" customWidth="1"/>
    <col min="11" max="11" width="10.625" style="1" hidden="1" customWidth="1"/>
    <col min="12" max="12" width="84.625" style="1" bestFit="1" customWidth="1"/>
    <col min="13" max="16384" width="10.625" style="1"/>
  </cols>
  <sheetData>
    <row r="1" spans="1:12" ht="32.85" customHeight="1" thickBot="1">
      <c r="A1" s="1" t="s">
        <v>185</v>
      </c>
      <c r="D1" s="141"/>
      <c r="E1" s="28">
        <f>SUM(E3:E6)/COUNT(E3:E6)</f>
        <v>1</v>
      </c>
    </row>
    <row r="2" spans="1:12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70" t="s">
        <v>258</v>
      </c>
      <c r="H2" s="70" t="s">
        <v>157</v>
      </c>
      <c r="L2" s="70" t="s">
        <v>157</v>
      </c>
    </row>
    <row r="3" spans="1:12" s="90" customFormat="1" ht="42.95" customHeight="1">
      <c r="A3" s="119" t="s">
        <v>136</v>
      </c>
      <c r="B3" s="78"/>
      <c r="C3" s="97" t="s">
        <v>367</v>
      </c>
      <c r="D3" s="126" t="s">
        <v>8</v>
      </c>
      <c r="E3" s="99">
        <v>1</v>
      </c>
      <c r="F3" s="136"/>
      <c r="G3" s="98"/>
      <c r="H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  <c r="I3" s="90" t="s">
        <v>399</v>
      </c>
      <c r="J3" s="90" t="str">
        <f>CONCATENATE("=hyperlink(""",I3,""",""",H3,""")")</f>
        <v>=hyperlink("https://aegon.sharepoint.com/:b:/r/sites/CC-PolicyHouseGroup-10099/Shared%20Documents/Generative%20AI%20Policy.pdf?csf=1&amp;web=1&amp;e=ER9yPo","Global Gen AI Policy (2025)")</v>
      </c>
      <c r="K3" s="115" t="str">
        <f>HYPERLINK("https://aegon.sharepoint.com/:b:/r/sites/CC-PolicyHouseGroup-10099/Shared%20Documents/Generative%20AI%20Policy.pdf?csf=1&amp;web=1&amp;e=ER9yPo","Global Gen AI Policy (2025)")</f>
        <v>Global Gen AI Policy (2025)</v>
      </c>
    </row>
    <row r="4" spans="1:12" s="90" customFormat="1" ht="42.95" customHeight="1">
      <c r="A4" s="119" t="s">
        <v>136</v>
      </c>
      <c r="B4" s="78"/>
      <c r="C4" s="102" t="s">
        <v>291</v>
      </c>
      <c r="D4" s="126" t="s">
        <v>189</v>
      </c>
      <c r="E4" s="99">
        <f>VLOOKUP(D4,References!AE:AF,2,FALSE)</f>
        <v>1</v>
      </c>
      <c r="F4" s="136"/>
      <c r="G4" s="98" t="s">
        <v>215</v>
      </c>
      <c r="H4" s="115" t="str">
        <f>HYPERLINK("https://aegon.sharepoint.com/sites/GTS-GlobalAIInventory-GTS-GenAI/Lists/Global%20AI%20Inventory%20%20GTS/AllItems.aspx","GenAI Inventory (SharePoint Site)")</f>
        <v>GenAI Inventory (SharePoint Site)</v>
      </c>
      <c r="I4" s="90" t="s">
        <v>400</v>
      </c>
      <c r="J4" s="90" t="str">
        <f t="shared" ref="J4:J6" si="0">CONCATENATE("=hyperlink(""",I4,""",""",H4,""")")</f>
        <v>=hyperlink("https://aegon.sharepoint.com/sites/GTS-GlobalAIInventory-GTS-GenAI/Lists/Global%20AI%20Inventory%20%20GTS/AllItems.aspx","GenAI Inventory (SharePoint Site)")</v>
      </c>
      <c r="K4" s="115" t="str">
        <f>HYPERLINK("https://aegon.sharepoint.com/sites/GTS-GlobalAIInventory-GTS-GenAI/Lists/Global%20AI%20Inventory%20%20GTS/AllItems.aspx","GenAI Inventory (SharePoint Site)")</f>
        <v>GenAI Inventory (SharePoint Site)</v>
      </c>
    </row>
    <row r="5" spans="1:12" s="90" customFormat="1" ht="42.95" customHeight="1">
      <c r="A5" s="119" t="s">
        <v>136</v>
      </c>
      <c r="B5" s="78"/>
      <c r="C5" s="97" t="s">
        <v>292</v>
      </c>
      <c r="D5" s="126" t="s">
        <v>189</v>
      </c>
      <c r="E5" s="99">
        <f>VLOOKUP(D5,References!AE:AF,2,FALSE)</f>
        <v>1</v>
      </c>
      <c r="F5" s="136"/>
      <c r="G5" s="98" t="s">
        <v>216</v>
      </c>
      <c r="H5" s="115" t="str">
        <f>HYPERLINK("https://aegon.sharepoint.com/sites/GTS-GlobalAIInventory-GTS-GenAI/Lists/Global%20AI%20Inventory%20%20GTS/AllItems.aspx","GenAI Inventory (SharePoint Site)")</f>
        <v>GenAI Inventory (SharePoint Site)</v>
      </c>
      <c r="I5" s="90" t="s">
        <v>400</v>
      </c>
      <c r="J5" s="90" t="str">
        <f t="shared" si="0"/>
        <v>=hyperlink("https://aegon.sharepoint.com/sites/GTS-GlobalAIInventory-GTS-GenAI/Lists/Global%20AI%20Inventory%20%20GTS/AllItems.aspx","GenAI Inventory (SharePoint Site)")</v>
      </c>
      <c r="K5" s="115" t="str">
        <f>HYPERLINK("https://aegon.sharepoint.com/sites/GTS-GlobalAIInventory-GTS-GenAI/Lists/Global%20AI%20Inventory%20%20GTS/AllItems.aspx","GenAI Inventory (SharePoint Site)")</f>
        <v>GenAI Inventory (SharePoint Site)</v>
      </c>
      <c r="L5" s="90" t="s">
        <v>421</v>
      </c>
    </row>
    <row r="6" spans="1:12" s="90" customFormat="1" ht="42.95" customHeight="1">
      <c r="A6" s="119" t="s">
        <v>136</v>
      </c>
      <c r="B6" s="78"/>
      <c r="C6" s="97" t="s">
        <v>233</v>
      </c>
      <c r="D6" s="127" t="s">
        <v>118</v>
      </c>
      <c r="E6" s="99">
        <f>VLOOKUP(D6,References!S:T,2,FALSE)</f>
        <v>1</v>
      </c>
      <c r="F6" s="136"/>
      <c r="G6" s="97" t="s">
        <v>248</v>
      </c>
      <c r="H6" s="115" t="str">
        <f>HYPERLINK("https://aegonna.sharepoint.com/sites/GTS-GlobalEngineeringandArchitecture/Shared%20Documents/GTS%20Architecture%20Documents/Intake%20Process/GenAI%20Documentation/LLM%20IMPACT%20ASSESSMENT.docx","LLM Impact Assessment Form (Word Doc)")</f>
        <v>LLM Impact Assessment Form (Word Doc)</v>
      </c>
      <c r="I6" s="90" t="s">
        <v>416</v>
      </c>
      <c r="J6" s="90" t="str">
        <f t="shared" si="0"/>
        <v>=hyperlink("https://aegonna.sharepoint.com/GTS-GlobalEngineeringandArchitecture/Shared%20Documents/GTS%20Architecture%20Documents/Intake%20Process/GenAI%20Documentation/LLM%20IMPACT%20ASSESSMENT.docx","LLM Impact Assessment Form (Word Doc)")</v>
      </c>
      <c r="K6" s="115" t="str">
        <f>HYPERLINK("https://aegonna.sharepoint.com/GTS-GlobalEngineeringandArchitecture/Shared%20Documents/GTS%20Architecture%20Documents/Intake%20Process/GenAI%20Documentation/LLM%20IMPACT%20ASSESSMENT.docx","LLM Impact Assessment Form (Word Doc)")</f>
        <v>LLM Impact Assessment Form (Word Doc)</v>
      </c>
    </row>
  </sheetData>
  <sheetProtection sheet="1" formatCells="0" formatColumns="0" formatRows="0" insertColumns="0" insertRows="0" sort="0"/>
  <conditionalFormatting sqref="E1">
    <cfRule type="cellIs" dxfId="19" priority="9" operator="between">
      <formula>0.9</formula>
      <formula>1</formula>
    </cfRule>
    <cfRule type="cellIs" dxfId="18" priority="10" operator="between">
      <formula>0</formula>
      <formula>0.899</formula>
    </cfRule>
  </conditionalFormatting>
  <conditionalFormatting sqref="E3:E6">
    <cfRule type="cellIs" dxfId="17" priority="1" stopIfTrue="1" operator="lessThan">
      <formula>0.5</formula>
    </cfRule>
    <cfRule type="cellIs" dxfId="16" priority="2" operator="lessThan">
      <formula>0.9</formula>
    </cfRule>
  </conditionalFormatting>
  <dataValidations count="1">
    <dataValidation type="list" allowBlank="1" showInputMessage="1" showErrorMessage="1" sqref="D141:D1048576" xr:uid="{A7954EEA-5183-4EAA-8C71-9FE7E9616827}">
      <formula1>$S$2:$S$2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DC8769-646E-4BCF-85C4-7F8360995BBE}">
          <x14:formula1>
            <xm:f>References!$AE$4:$AE$23</xm:f>
          </x14:formula1>
          <xm:sqref>D4:D5</xm:sqref>
        </x14:dataValidation>
        <x14:dataValidation type="list" allowBlank="1" showInputMessage="1" showErrorMessage="1" xr:uid="{D9C7447A-C8AD-4DBC-82AE-17B59F89ED27}">
          <x14:formula1>
            <xm:f>References!$S$4:$S$20</xm:f>
          </x14:formula1>
          <xm:sqref>D6</xm:sqref>
        </x14:dataValidation>
        <x14:dataValidation type="list" allowBlank="1" showInputMessage="1" showErrorMessage="1" xr:uid="{F142E079-910D-454C-84C8-88BDEE16FA98}">
          <x14:formula1>
            <xm:f>References!$R$4:$R$6</xm:f>
          </x14:formula1>
          <xm:sqref>D3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F844-FBEA-40E7-B1FB-EE8114DBED5C}">
  <sheetPr codeName="Sheet3"/>
  <dimension ref="A1:J15"/>
  <sheetViews>
    <sheetView topLeftCell="A6" workbookViewId="0">
      <selection activeCell="C13" sqref="C13"/>
    </sheetView>
  </sheetViews>
  <sheetFormatPr defaultColWidth="10.625" defaultRowHeight="15.75"/>
  <cols>
    <col min="1" max="1" width="9.125" style="1" customWidth="1"/>
    <col min="2" max="2" width="80.625" style="5" bestFit="1" customWidth="1"/>
    <col min="3" max="3" width="33.5" style="144" customWidth="1"/>
    <col min="4" max="4" width="7.125" style="2" bestFit="1" customWidth="1"/>
    <col min="5" max="5" width="35" style="30" customWidth="1"/>
    <col min="6" max="6" width="35" style="4" customWidth="1"/>
    <col min="7" max="7" width="69.5" style="5" customWidth="1"/>
    <col min="8" max="8" width="42" style="1" hidden="1" customWidth="1"/>
    <col min="9" max="11" width="0" style="1" hidden="1" customWidth="1"/>
    <col min="12" max="16384" width="10.625" style="1"/>
  </cols>
  <sheetData>
    <row r="1" spans="1:10" ht="32.85" customHeight="1" thickBot="1">
      <c r="A1" s="1" t="s">
        <v>143</v>
      </c>
      <c r="C1" s="141"/>
      <c r="D1" s="28">
        <f>SUM(D3:D13)/COUNT(D3:D13)</f>
        <v>0.81818181818181823</v>
      </c>
    </row>
    <row r="2" spans="1:10" s="16" customFormat="1" ht="72" customHeight="1">
      <c r="A2" s="67" t="s">
        <v>1</v>
      </c>
      <c r="B2" s="68" t="s">
        <v>3</v>
      </c>
      <c r="C2" s="142" t="s">
        <v>4</v>
      </c>
      <c r="D2" s="69" t="s">
        <v>158</v>
      </c>
      <c r="E2" s="142" t="s">
        <v>278</v>
      </c>
      <c r="F2" s="93" t="s">
        <v>258</v>
      </c>
      <c r="G2" s="179" t="s">
        <v>157</v>
      </c>
      <c r="H2" s="180"/>
    </row>
    <row r="3" spans="1:10" s="90" customFormat="1" ht="39" customHeight="1">
      <c r="A3" s="119" t="s">
        <v>36</v>
      </c>
      <c r="B3" s="97" t="s">
        <v>226</v>
      </c>
      <c r="C3" s="109" t="s">
        <v>40</v>
      </c>
      <c r="D3" s="99">
        <f>VLOOKUP(C3,References!D:E,2,FALSE)</f>
        <v>1</v>
      </c>
      <c r="E3" s="123"/>
      <c r="F3" s="114"/>
      <c r="G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  <c r="H3" s="90" t="s">
        <v>420</v>
      </c>
      <c r="I3" s="90" t="str">
        <f t="shared" ref="I3:I13" si="0">CONCATENATE("=hyperlink(""",H3,""",""",G3,""")")</f>
        <v>=hyperlink("https://aegonna.sharepoint.com/:w:/r/sites/GTS-GlobalARB/Shared%20Documents/Global%20Cloud%20Application%20Network%20Segmentation%20Guidance/Global%20Cloud%20Application%20Network%20Segmentation%20Guidance.docx","Global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v>
      </c>
      <c r="J3" s="115" t="str">
        <f>HYPERLINK("https://aegonna.sharepoint.com/:w:/r/sites/GTS-GlobalARB/Shared%20Documents/Global%20Cloud%20Application%20Network%20Segmentation%20Guidance/Global%20Cloud%20Application%20Network%20Segmentation%20Guidance.docx","Global Cloud Application Network Segmentation Guidance (Draft - 2026)")</f>
        <v>Global Cloud Application Network Segmentation Guidance (Draft - 2026)</v>
      </c>
    </row>
    <row r="4" spans="1:10" s="90" customFormat="1" ht="39" customHeight="1">
      <c r="A4" s="119" t="s">
        <v>36</v>
      </c>
      <c r="B4" s="97" t="s">
        <v>319</v>
      </c>
      <c r="C4" s="109" t="s">
        <v>8</v>
      </c>
      <c r="D4" s="99">
        <f>VLOOKUP(C4,References!D:E,2,FALSE)</f>
        <v>1</v>
      </c>
      <c r="E4" s="123"/>
      <c r="F4" s="114"/>
      <c r="G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  <c r="H4" s="90" t="s">
        <v>409</v>
      </c>
      <c r="I4" s="90" t="str">
        <f t="shared" si="0"/>
        <v>=hyperlink("https://aegonna.sharepoint.com/:b:/r/sites/TA-TAInformationSecurityPoliciesandStandards/Public/Transamerica%20Logging%20and%20Monitoring%20Process.pdf?csf=1&amp;web=1&amp;e=tXZpbL","Transamerica Security Logging &amp; Monitoring Process (2025)")</v>
      </c>
      <c r="J4" s="115" t="str">
        <f>HYPERLINK("https://aegonna.sharepoint.com/:b:/r/sites/TA-TAInformationSecurityPoliciesandStandards/Public/Transamerica%20Logging%20and%20Monitoring%20Process.pdf?csf=1&amp;web=1&amp;e=tXZpbL","Transamerica Security Logging &amp; Monitoring Process (2025)")</f>
        <v>Transamerica Security Logging &amp; Monitoring Process (2025)</v>
      </c>
    </row>
    <row r="5" spans="1:10" s="90" customFormat="1" ht="39" customHeight="1">
      <c r="A5" s="119" t="s">
        <v>36</v>
      </c>
      <c r="B5" s="97" t="s">
        <v>355</v>
      </c>
      <c r="C5" s="109" t="s">
        <v>40</v>
      </c>
      <c r="D5" s="99">
        <f>VLOOKUP(C5,References!D:E,2,FALSE)</f>
        <v>1</v>
      </c>
      <c r="E5" s="123"/>
      <c r="F5" s="114" t="s">
        <v>356</v>
      </c>
      <c r="G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  <c r="H5" s="90" t="s">
        <v>410</v>
      </c>
      <c r="I5" s="90" t="str">
        <f t="shared" si="0"/>
        <v>=hyperlink("https://aegonna.sharepoint.com/:w:/r/sites/GTS-GlobalARB/Global%20Architecture%20Informational%20Presentations/GTS%20Architecture%20CIAM%20Position%20Paper.docx?d=w82978e8df5654367b76bc39f9a585957&amp;csf=1&amp;web=1&amp;e=lGjf0q","Global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v>
      </c>
      <c r="J5" s="115" t="str">
        <f>HYPERLINK("https://aegonna.sharepoint.com/:w:/r/sites/GTS-GlobalARB/Global%20Architecture%20Informational%20Presentations/GTS%20Architecture%20CIAM%20Position%20Paper.docx?d=w82978e8df5654367b76bc39f9a585957&amp;csf=1&amp;web=1&amp;e=lGjf0q","Global Architecture IAM Position Paper (2024)")</f>
        <v>Global Architecture IAM Position Paper (2024)</v>
      </c>
    </row>
    <row r="6" spans="1:10" s="90" customFormat="1" ht="39" customHeight="1">
      <c r="A6" s="119" t="s">
        <v>36</v>
      </c>
      <c r="B6" s="97" t="s">
        <v>352</v>
      </c>
      <c r="C6" s="109" t="s">
        <v>40</v>
      </c>
      <c r="D6" s="99">
        <f>VLOOKUP(C6,References!D:E,2,FALSE)</f>
        <v>1</v>
      </c>
      <c r="E6" s="123"/>
      <c r="F6" s="114" t="s">
        <v>358</v>
      </c>
      <c r="G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  <c r="H6" s="90" t="s">
        <v>411</v>
      </c>
      <c r="I6" s="90" t="str">
        <f t="shared" si="0"/>
        <v>=hyperlink("https://aegonna.sharepoint.com/:w:/r/sites/GEA/Project%20Solutions/SailPoint%20Solution%20Design%20Updates.docx?d=w474be95ffaae41a78a1451567eaa0d91&amp;csf=1&amp;web=1&amp;e=Ryfqym","SailPoint Solution Design (2025)")</v>
      </c>
      <c r="J6" s="115" t="str">
        <f>HYPERLINK("https://aegonna.sharepoint.com/:w:/r/sites/GEA/Project%20Solutions/SailPoint%20Solution%20Design%20Updates.docx?d=w474be95ffaae41a78a1451567eaa0d91&amp;csf=1&amp;web=1&amp;e=Ryfqym","SailPoint Solution Design (2025)")</f>
        <v>SailPoint Solution Design (2025)</v>
      </c>
    </row>
    <row r="7" spans="1:10" s="90" customFormat="1" ht="39" customHeight="1">
      <c r="A7" s="119" t="s">
        <v>36</v>
      </c>
      <c r="B7" s="97" t="s">
        <v>318</v>
      </c>
      <c r="C7" s="109" t="s">
        <v>8</v>
      </c>
      <c r="D7" s="99">
        <f>VLOOKUP(C7,References!D:E,2,FALSE)</f>
        <v>1</v>
      </c>
      <c r="E7" s="123"/>
      <c r="F7" s="114"/>
      <c r="G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  <c r="H7" s="90" t="s">
        <v>414</v>
      </c>
      <c r="I7" s="90" t="str">
        <f t="shared" si="0"/>
        <v>=hyperlink("https://aegonna.sharepoint.com/GTS-GlobalARB/Lists/Aegon%20Global%20ARB%20Calendar%20and%20Decisions/DispForm.aspx?ID=24&amp;e=SaQhKt","Global Multi-Factor Authentication Architecture Guidance (2025)")</v>
      </c>
      <c r="J7" s="115" t="str">
        <f>HYPERLINK("https://aegonna.sharepoint.com/sites/GTS-GlobalARB/Lists/Aegon%20Global%20ARB%20Calendar%20and%20Decisions/DispForm.aspx?ID=24&amp;e=SaQhKt","Global Multi-Factor Authentication Architecture Guidance (2025)")</f>
        <v>Global Multi-Factor Authentication Architecture Guidance (2025)</v>
      </c>
    </row>
    <row r="8" spans="1:10" s="90" customFormat="1" ht="39" customHeight="1">
      <c r="A8" s="119" t="s">
        <v>36</v>
      </c>
      <c r="B8" s="97" t="s">
        <v>225</v>
      </c>
      <c r="C8" s="109" t="s">
        <v>8</v>
      </c>
      <c r="D8" s="99">
        <f>VLOOKUP(C8,References!D:E,2,FALSE)</f>
        <v>1</v>
      </c>
      <c r="E8" s="123"/>
      <c r="F8" s="114" t="s">
        <v>359</v>
      </c>
      <c r="G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  <c r="H8" s="90" t="s">
        <v>412</v>
      </c>
      <c r="I8" s="90" t="str">
        <f t="shared" si="0"/>
        <v>=hyperlink("https://aegonna.sharepoint.com/:p:/r/sites/GEA/Reference%20Architecture/Secrets%20Management%20Tool%20Guidelines.pptx?d=w33fada90e2c142e5a650811b2840f87e&amp;csf=1&amp;web=1&amp;e=0ER6dW","Secrets Management Guidance (2022)")</v>
      </c>
      <c r="J8" s="115" t="str">
        <f>HYPERLINK("https://aegonna.sharepoint.com/:p:/r/sites/GEA/Reference%20Architecture/Secrets%20Management%20Tool%20Guidelines.pptx?d=w33fada90e2c142e5a650811b2840f87e&amp;csf=1&amp;web=1&amp;e=0ER6dW","Secrets Management Guidance (2022)")</f>
        <v>Secrets Management Guidance (2022)</v>
      </c>
    </row>
    <row r="9" spans="1:10" s="90" customFormat="1" ht="39" customHeight="1">
      <c r="A9" s="119" t="s">
        <v>36</v>
      </c>
      <c r="B9" s="97" t="s">
        <v>224</v>
      </c>
      <c r="C9" s="109" t="s">
        <v>8</v>
      </c>
      <c r="D9" s="99">
        <f>VLOOKUP(C9,References!D:E,2,FALSE)</f>
        <v>1</v>
      </c>
      <c r="E9" s="123"/>
      <c r="F9" s="114" t="s">
        <v>357</v>
      </c>
      <c r="G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  <c r="H9" s="90" t="s">
        <v>415</v>
      </c>
      <c r="I9" s="90" t="str">
        <f t="shared" si="0"/>
        <v>=hyperlink("https://aegonna.sharepoint.com/GTS-GlobalARB/Lists/Aegon%20Global%20ARB%20Calendar%20and%20Decisions/DispForm.aspx?ID=67&amp;e=aFEmdQ","Global Certificate Management Guidance (2025)")</v>
      </c>
      <c r="J9" s="115" t="str">
        <f>HYPERLINK("https://aegonna.sharepoint.com/sites/GTS-GlobalARB/Lists/Aegon%20Global%20ARB%20Calendar%20and%20Decisions/DispForm.aspx?ID=67&amp;e=aFEmdQ","Global Certificate Management Guidance (2025)")</f>
        <v>Global Certificate Management Guidance (2025)</v>
      </c>
    </row>
    <row r="10" spans="1:10" s="90" customFormat="1" ht="39" customHeight="1">
      <c r="A10" s="119" t="s">
        <v>36</v>
      </c>
      <c r="B10" s="97" t="s">
        <v>360</v>
      </c>
      <c r="C10" s="109" t="s">
        <v>40</v>
      </c>
      <c r="D10" s="99">
        <f>VLOOKUP(C10,References!D:E,2,FALSE)</f>
        <v>1</v>
      </c>
      <c r="E10" s="123"/>
      <c r="F10" s="114" t="s">
        <v>361</v>
      </c>
      <c r="G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  <c r="H10" s="90" t="s">
        <v>413</v>
      </c>
      <c r="I10" s="90" t="str">
        <f t="shared" si="0"/>
        <v>=hyperlink("https://aegonna.sharepoint.com/:w:/r/sites/TA-TAWorkplaceDevOperateTeam/Shared%20Documents/Douglas%20Macnab%20Folder/Aegon%20Privileged%20Access%20Management%20Process%20%26%20Controls.docx?d=w379e4695caba41ddb8f31ddcdb9366c3&amp;csf=1&amp;web=1&amp;e=kgHYo5","Aegon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v>
      </c>
      <c r="J10" s="115" t="str">
        <f>HYPERLINK("https://aegonna.sharepoint.com/:w:/r/sites/TA-TAWorkplaceDevOperateTeam/Shared%20Documents/Douglas%20Macnab%20Folder/Aegon%20Privileged%20Access%20Management%20Process%20%26%20Controls.docx?d=w379e4695caba41ddb8f31ddcdb9366c3&amp;csf=1&amp;web=1&amp;e=kgHYo5","Aegon Privileged Access Management Process &amp; Controls (2022)")</f>
        <v>Aegon Privileged Access Management Process &amp; Controls (2022)</v>
      </c>
    </row>
    <row r="11" spans="1:10" s="90" customFormat="1" ht="39" customHeight="1">
      <c r="A11" s="119" t="s">
        <v>36</v>
      </c>
      <c r="B11" s="97" t="s">
        <v>346</v>
      </c>
      <c r="C11" s="143" t="s">
        <v>326</v>
      </c>
      <c r="D11" s="99">
        <f>VLOOKUP(C11,References!AY:AZ,2,FALSE)</f>
        <v>-1</v>
      </c>
      <c r="E11" s="123"/>
      <c r="F11" s="78"/>
      <c r="G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  <c r="H11" s="90" t="s">
        <v>407</v>
      </c>
      <c r="I11" s="90" t="str">
        <f t="shared" si="0"/>
        <v>=hyperlink("https://aegonna.sharepoint.com/:p:/r/sites/GEA/Templates/In%20Review/2026%20Enterprise%20Technology%20ARB%20Charter%20%26%20Architecture%20Processes%20Overview.pptx?d=w751dcb168e6d4cc5bd0a17ac94837e7c&amp;csf=1&amp;web=1&amp;e=AM6hRW","Enterprise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v>
      </c>
      <c r="J11" s="115" t="str">
        <f>HYPERLINK("https://aegonna.sharepoint.com/:p:/r/sites/GEA/Templates/In%20Review/2026%20Enterprise%20Technology%20ARB%20Charter%20%26%20Architecture%20Processes%20Overview.pptx?d=w751dcb168e6d4cc5bd0a17ac94837e7c&amp;csf=1&amp;web=1&amp;e=AM6hRW","Enterprise Technology ARB Charter &amp; Architecture Processes Overview - Security Integration (2026)")</f>
        <v>Enterprise Technology ARB Charter &amp; Architecture Processes Overview - Security Integration (2026)</v>
      </c>
    </row>
    <row r="12" spans="1:10" s="90" customFormat="1" ht="39" customHeight="1">
      <c r="A12" s="119" t="s">
        <v>36</v>
      </c>
      <c r="B12" s="97" t="s">
        <v>247</v>
      </c>
      <c r="C12" s="109" t="s">
        <v>40</v>
      </c>
      <c r="D12" s="99">
        <f>VLOOKUP(C12,References!D:E,2,FALSE)</f>
        <v>1</v>
      </c>
      <c r="E12" s="123"/>
      <c r="F12" s="78"/>
      <c r="G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  <c r="H12" s="90" t="s">
        <v>388</v>
      </c>
      <c r="I12" s="90" t="str">
        <f t="shared" si="0"/>
        <v>=hyperlink("https://aegonna.sharepoint.com/:p:/s/GEA/cQr7F2hx5WGuQ7YvZOjTlEATEgUAegZ3q5TiBVPlY7cEx_fJkw","Global Minimum Security Requirements by App Risk Rating (2025)")</v>
      </c>
      <c r="J12" s="115" t="str">
        <f>HYPERLINK("https://aegonna.sharepoint.com/:p:/s/GEA/cQr7F2hx5WGuQ7YvZOjTlEATEgUAegZ3q5TiBVPlY7cEx_fJkw","Global Minimum Security Requirements by App Risk Rating (2025)")</f>
        <v>Global Minimum Security Requirements by App Risk Rating (2025)</v>
      </c>
    </row>
    <row r="13" spans="1:10" s="90" customFormat="1" ht="39" customHeight="1">
      <c r="A13" s="119" t="s">
        <v>36</v>
      </c>
      <c r="B13" s="97" t="s">
        <v>353</v>
      </c>
      <c r="C13" s="143" t="s">
        <v>8</v>
      </c>
      <c r="D13" s="99">
        <f>VLOOKUP(C13,References!H:I,2,FALSE)</f>
        <v>1</v>
      </c>
      <c r="E13" s="123"/>
      <c r="F13" s="78"/>
      <c r="G13" s="115" t="str">
        <f>HYPERLINK("https://aegon.service-now.com/asp?id=sc_cat_item&amp;sys_id=21b08b8a83e2ce50282ad2126daad3fd","Threat Model Request (ServiceNow Form)")</f>
        <v>Threat Model Request (ServiceNow Form)</v>
      </c>
      <c r="H13" s="90" t="s">
        <v>401</v>
      </c>
      <c r="I13" s="90" t="str">
        <f t="shared" si="0"/>
        <v>=hyperlink("https://aegon.service-now.com/asp?id=sc_cat_item&amp;sys_id=21b08b8a83e2ce50282ad2126daad3fd","Threat Model Request (ServiceNow Form)")</v>
      </c>
      <c r="J13" s="115" t="str">
        <f>HYPERLINK("https://aegon.service-now.com/asp?id=sc_cat_item&amp;sys_id=21b08b8a83e2ce50282ad2126daad3fd","Threat Model Request (ServiceNow Form)")</f>
        <v>Threat Model Request (ServiceNow Form)</v>
      </c>
    </row>
    <row r="15" spans="1:10">
      <c r="B15" s="55"/>
    </row>
  </sheetData>
  <sheetProtection sheet="1" objects="1" scenarios="1" formatCells="0" formatColumns="0" formatRows="0" insertColumns="0" insertRows="0" sort="0"/>
  <sortState xmlns:xlrd2="http://schemas.microsoft.com/office/spreadsheetml/2017/richdata2" ref="B14:B15">
    <sortCondition ref="B14:B15"/>
  </sortState>
  <mergeCells count="1">
    <mergeCell ref="G2:H2"/>
  </mergeCells>
  <conditionalFormatting sqref="D1">
    <cfRule type="cellIs" dxfId="15" priority="13" operator="between">
      <formula>0.9</formula>
      <formula>1</formula>
    </cfRule>
    <cfRule type="cellIs" dxfId="14" priority="14" operator="between">
      <formula>0</formula>
      <formula>0.899</formula>
    </cfRule>
  </conditionalFormatting>
  <conditionalFormatting sqref="D3:D13">
    <cfRule type="cellIs" dxfId="13" priority="5" stopIfTrue="1" operator="lessThan">
      <formula>0.5</formula>
    </cfRule>
    <cfRule type="cellIs" dxfId="12" priority="6" operator="lessThan">
      <formula>0.9</formula>
    </cfRule>
  </conditionalFormatting>
  <dataValidations count="1">
    <dataValidation type="list" allowBlank="1" showInputMessage="1" showErrorMessage="1" sqref="C162:C1048576" xr:uid="{85986218-30CB-4010-9066-C644E0442089}">
      <formula1>$R$2:$R$2</formula1>
    </dataValidation>
  </dataValidations>
  <pageMargins left="0.7" right="0.7" top="0.75" bottom="0.75" header="0.3" footer="0.3"/>
  <pageSetup orientation="portrait" r:id="rId1"/>
  <headerFooter>
    <oddFooter>&amp;C_x000D_&amp;1#&amp;"Aptos"&amp;10&amp;K000000 Internal</oddFooter>
  </headerFooter>
  <ignoredErrors>
    <ignoredError sqref="D11 D13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AD09B-8242-4546-8D5C-9D5B36688108}">
          <x14:formula1>
            <xm:f>References!$H$4:$H$7</xm:f>
          </x14:formula1>
          <xm:sqref>C13</xm:sqref>
        </x14:dataValidation>
        <x14:dataValidation type="list" allowBlank="1" showInputMessage="1" showErrorMessage="1" xr:uid="{427C3C88-4957-47AD-8ABF-02061B265A60}">
          <x14:formula1>
            <xm:f>References!$D$4:$D$20</xm:f>
          </x14:formula1>
          <xm:sqref>C12 C3:C10</xm:sqref>
        </x14:dataValidation>
        <x14:dataValidation type="list" allowBlank="1" showInputMessage="1" showErrorMessage="1" xr:uid="{F765310B-EB8C-C447-9DBC-09AC928CD111}">
          <x14:formula1>
            <xm:f>References!$AY$4:$AY$9</xm:f>
          </x14:formula1>
          <xm:sqref>C11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C399-BA03-482F-82ED-435DCF9F2850}">
  <sheetPr codeName="Sheet6"/>
  <dimension ref="A1:M15"/>
  <sheetViews>
    <sheetView workbookViewId="0">
      <selection activeCell="D4" sqref="D4"/>
    </sheetView>
  </sheetViews>
  <sheetFormatPr defaultColWidth="10.625" defaultRowHeight="15.75"/>
  <cols>
    <col min="1" max="1" width="9.375" style="1" customWidth="1"/>
    <col min="2" max="2" width="31.625" style="1" hidden="1" customWidth="1"/>
    <col min="3" max="3" width="54" style="5" customWidth="1"/>
    <col min="4" max="4" width="32.625" style="144" customWidth="1"/>
    <col min="5" max="5" width="7.125" style="2" bestFit="1" customWidth="1"/>
    <col min="6" max="6" width="59.625" style="30" customWidth="1"/>
    <col min="7" max="7" width="59.625" style="4" customWidth="1"/>
    <col min="8" max="10" width="56.125" style="5" customWidth="1"/>
    <col min="11" max="11" width="36.5" style="1" hidden="1" customWidth="1"/>
    <col min="12" max="12" width="29.375" style="1" hidden="1" customWidth="1"/>
    <col min="13" max="13" width="28.375" style="1" hidden="1" customWidth="1"/>
    <col min="14" max="16384" width="10.625" style="1"/>
  </cols>
  <sheetData>
    <row r="1" spans="1:13" ht="32.85" customHeight="1" thickBot="1">
      <c r="A1" s="1" t="s">
        <v>186</v>
      </c>
      <c r="D1" s="141"/>
      <c r="E1" s="28">
        <f>SUM(E3:E5)/COUNT(E3:E5)</f>
        <v>1</v>
      </c>
    </row>
    <row r="2" spans="1:13" s="16" customFormat="1" ht="72" customHeight="1">
      <c r="A2" s="67" t="s">
        <v>1</v>
      </c>
      <c r="B2" s="68" t="s">
        <v>2</v>
      </c>
      <c r="C2" s="68" t="s">
        <v>3</v>
      </c>
      <c r="D2" s="142" t="s">
        <v>4</v>
      </c>
      <c r="E2" s="69" t="s">
        <v>158</v>
      </c>
      <c r="F2" s="142" t="s">
        <v>278</v>
      </c>
      <c r="G2" s="93" t="s">
        <v>258</v>
      </c>
      <c r="H2" s="179" t="s">
        <v>157</v>
      </c>
      <c r="I2" s="180"/>
      <c r="J2" s="180"/>
      <c r="K2" s="180"/>
      <c r="L2" s="180"/>
      <c r="M2" s="180"/>
    </row>
    <row r="3" spans="1:13" ht="60" customHeight="1">
      <c r="A3" s="100" t="s">
        <v>195</v>
      </c>
      <c r="C3" s="117" t="s">
        <v>347</v>
      </c>
      <c r="D3" s="128" t="s">
        <v>40</v>
      </c>
      <c r="E3" s="88">
        <f>VLOOKUP(D3,References!D:E,2,FALSE)</f>
        <v>1</v>
      </c>
      <c r="G3" s="94" t="s">
        <v>277</v>
      </c>
      <c r="H3" s="92" t="str">
        <f>HYPERLINK("https://aegonna.sharepoint.com/sites/GTS-GTSRiskReviewAssessment/Lists/Risk%20Catalog/AddRiskDescriptions.aspx","Global Technology Solution Assessment (TSA) Risk Catalog")</f>
        <v>Global Technology Solution Assessment (TSA) Risk Catalog</v>
      </c>
      <c r="I3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  <c r="J3" s="92"/>
      <c r="K3" s="1" t="s">
        <v>404</v>
      </c>
      <c r="L3" s="90" t="str">
        <f>CONCATENATE("=hyperlink(""",K3,""",""",H3,""")")</f>
        <v>=hyperlink("https://aegonna.sharepoint.com/GTS-GTSRiskReviewAssessment/Lists/Risk%20Catalog/AddRiskDescriptions.aspx","Global Technology Solution Assessment (TSA) Risk Catalog")</v>
      </c>
      <c r="M3" s="92" t="str">
        <f>HYPERLINK("https://aegonna.sharepoint.com/GTS-GTSRiskReviewAssessment/Lists/Risk%20Catalog/AddRiskDescriptions.aspx","Global Technology Solution Assessment (TSA) Risk Catalog")</f>
        <v>Global Technology Solution Assessment (TSA) Risk Catalog</v>
      </c>
    </row>
    <row r="4" spans="1:13" ht="60" customHeight="1">
      <c r="A4" s="100" t="s">
        <v>195</v>
      </c>
      <c r="C4" s="117" t="s">
        <v>343</v>
      </c>
      <c r="D4" s="150" t="s">
        <v>118</v>
      </c>
      <c r="E4" s="89">
        <f>VLOOKUP(D4,References!S:T,2,FALSE)</f>
        <v>1</v>
      </c>
      <c r="G4" s="94" t="s">
        <v>366</v>
      </c>
      <c r="H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  <c r="I4" s="92" t="str">
        <f>HYPERLINK("https://aegonna.sharepoint.com/sites/GTS-GTSRiskReviewAssessment/Lists/Technology%20Risk%20Reviews/All%20Columns.aspx","Global Technology Solution Assessment (TSA) Register (SharePoint)")</f>
        <v>Global Technology Solution Assessment (TSA) Register (SharePoint)</v>
      </c>
      <c r="J4" s="92" t="str">
        <f>HYPERLINK("https://aegonna.sharepoint.com/sites/TA-IntegratedITControlsAssessment","​Transamerica  IT Controls Register (PowerApp)")</f>
        <v>​Transamerica  IT Controls Register (PowerApp)</v>
      </c>
      <c r="K4" s="1" t="s">
        <v>407</v>
      </c>
      <c r="L4" s="90" t="str">
        <f>CONCATENATE("=hyperlink(""",K4,""",""",H4,""")")</f>
        <v>=hyperlink("https://aegonna.sharepoint.com/:p:/r/sites/GEA/Templates/In%20Review/2026%20Enterprise%20Technology%20ARB%20Charter%20%26%20Architecture%20Processes%20Overview.pptx?d=w751dcb168e6d4cc5bd0a17ac94837e7c&amp;csf=1&amp;web=1&amp;e=AM6hRW","See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v>
      </c>
      <c r="M4" s="92" t="str">
        <f>HYPERLINK("https://aegonna.sharepoint.com/:p:/r/sites/GEA/Templates/In%20Review/2026%20Enterprise%20Technology%20ARB%20Charter%20%26%20Architecture%20Processes%20Overview.pptx?d=w751dcb168e6d4cc5bd0a17ac94837e7c&amp;csf=1&amp;web=1&amp;e=AM6hRW","See Enterprise Technology Architecture Review Board Charter - Risk Assessment Integration Slides for More Information (2026)")</f>
        <v>See Enterprise Technology Architecture Review Board Charter - Risk Assessment Integration Slides for More Information (2026)</v>
      </c>
    </row>
    <row r="5" spans="1:13" ht="60" customHeight="1">
      <c r="A5" s="129" t="s">
        <v>195</v>
      </c>
      <c r="B5" s="130"/>
      <c r="C5" s="86" t="s">
        <v>334</v>
      </c>
      <c r="D5" s="87" t="s">
        <v>8</v>
      </c>
      <c r="E5" s="88">
        <f>VLOOKUP(D5,References!D:E,2,FALSE)</f>
        <v>1</v>
      </c>
      <c r="F5" s="137"/>
      <c r="G5" s="95" t="s">
        <v>365</v>
      </c>
      <c r="H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  <c r="I5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  <c r="J5" s="92"/>
      <c r="K5" s="1" t="s">
        <v>402</v>
      </c>
      <c r="L5" s="90" t="str">
        <f>CONCATENATE("=hyperlink(""",K5,""",""",H5,""")")</f>
        <v>=hyperlink("https://aegon.service-now.com/kb?sys_kb_id=4a4481592b5a7254c449f892c891bfcf&amp;id=kb_article_view&amp;sysparm_rank=2&amp;sysparm_tsqueryId=43e4899133563290692689b32d5c7b18","IRM Knowledge - Risk Treatment Framework (Knowledge Article)")</v>
      </c>
      <c r="M5" s="92" t="str">
        <f>HYPERLINK("https://aegon.service-now.com/kb?sys_kb_id=4a4481592b5a7254c449f892c891bfcf&amp;id=kb_article_view&amp;sysparm_rank=2&amp;sysparm_tsqueryId=43e4899133563290692689b32d5c7b18","IRM Knowledge - Risk Treatment Framework (Knowledge Article)")</f>
        <v>IRM Knowledge - Risk Treatment Framework (Knowledge Article)</v>
      </c>
    </row>
    <row r="6" spans="1:13" ht="31.5">
      <c r="A6" s="129" t="s">
        <v>195</v>
      </c>
      <c r="C6" s="5" t="s">
        <v>335</v>
      </c>
      <c r="D6" s="87" t="s">
        <v>8</v>
      </c>
      <c r="E6" s="88">
        <f>VLOOKUP(D6,References!D:E,2,FALSE)</f>
        <v>1</v>
      </c>
      <c r="I6" s="92"/>
      <c r="J6" s="92"/>
      <c r="K6" s="1" t="s">
        <v>408</v>
      </c>
      <c r="L6" s="90" t="str">
        <f>CONCATENATE("=hyperlink(""",K6,""",""",I3,""")")</f>
        <v>=hyperlink("https://aegonna.sharepoint.com/:x:/r/sites/TA-ProjectMethodology/Shared%20Documents/M2%20-%20M6%20Plan%20%26%20Analyze/Integrated%20IT%20Controls%20Assessment%20(Final).xlsx?d=w9feba36ffb554e18b22722fa9187a4c4&amp;csf=1&amp;web=1&amp;e=aRbbE1","TA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v>
      </c>
      <c r="M6" s="92" t="str">
        <f>HYPERLINK("https://aegonna.sharepoint.com/:x:/r/sites/TA-ProjectMethodology/Shared%20Documents/M2%20-%20M6%20Plan%20%26%20Analyze/Integrated%20IT%20Controls%20Assessment%20(Final).xlsx?d=w9feba36ffb554e18b22722fa9187a4c4&amp;csf=1&amp;web=1&amp;e=aRbbE1","TA Integrated Controls List (2025)")</f>
        <v>TA Integrated Controls List (2025)</v>
      </c>
    </row>
    <row r="7" spans="1:13" ht="31.5">
      <c r="A7" s="129" t="s">
        <v>195</v>
      </c>
      <c r="C7" s="5" t="s">
        <v>336</v>
      </c>
      <c r="D7" s="87" t="s">
        <v>8</v>
      </c>
      <c r="E7" s="88">
        <f>VLOOKUP(D7,References!D:E,2,FALSE)</f>
        <v>1</v>
      </c>
      <c r="I7" s="92"/>
      <c r="J7" s="92"/>
      <c r="K7" s="1" t="s">
        <v>405</v>
      </c>
      <c r="L7" s="90" t="str">
        <f>CONCATENATE("=hyperlink(""",K7,""",""",I4,""")")</f>
        <v>=hyperlink("https://aegonna.sharepoint.com/GTS-GTSRiskReviewAssessment/Lists/Technology%20Risk%20Reviews/All%20Columns.aspx","Global Technology Solution Assessment (TSA) Register (SharePoint)")</v>
      </c>
      <c r="M7" s="92" t="str">
        <f>HYPERLINK("https://aegonna.sharepoint.com/GTS-GTSRiskReviewAssessment/Lists/Technology%20Risk%20Reviews/All%20Columns.aspx","Global Technology Solution Assessment (TSA) Register (SharePoint)")</f>
        <v>Global Technology Solution Assessment (TSA) Register (SharePoint)</v>
      </c>
    </row>
    <row r="8" spans="1:13">
      <c r="I8" s="92"/>
      <c r="J8" s="92"/>
      <c r="K8" s="1" t="s">
        <v>403</v>
      </c>
      <c r="L8" s="90" t="str">
        <f>CONCATENATE("=hyperlink(""",K8,""",""",I5,""")")</f>
        <v>=hyperlink("https://aegon.service-now.com/asp?id=sc_cat_item&amp;sys_id=c2b0c6e7870d7e146a54646e8bbb354f","Risk Intake Form - Complete to initiate Risk Treatment Process for an exception to standards")</v>
      </c>
      <c r="M8" s="92" t="str">
        <f>HYPERLINK("https://aegon.service-now.com/asp?id=sc_cat_item&amp;sys_id=c2b0c6e7870d7e146a54646e8bbb354f","Risk Intake Form - Complete to initiate Risk Treatment Process for an exception to standards")</f>
        <v>Risk Intake Form - Complete to initiate Risk Treatment Process for an exception to standards</v>
      </c>
    </row>
    <row r="9" spans="1:13">
      <c r="H9" s="1"/>
      <c r="I9" s="1"/>
      <c r="J9" s="1"/>
    </row>
    <row r="10" spans="1:13">
      <c r="I10" s="92"/>
      <c r="J10" s="92"/>
      <c r="K10" s="1" t="s">
        <v>406</v>
      </c>
      <c r="L10" s="90" t="str">
        <f>CONCATENATE("=hyperlink(""",K10,""",""",J4,""")")</f>
        <v>=hyperlink("https://aegonna.sharepoint.com/TA-IntegratedITControlsAssessment","​Transamerica  IT Controls Register (PowerApp)")</v>
      </c>
      <c r="M10" s="92" t="str">
        <f>HYPERLINK("https://aegonna.sharepoint.com/TA-IntegratedITControlsAssessment","​Transamerica  IT Controls Register (PowerApp)")</f>
        <v>​Transamerica  IT Controls Register (PowerApp)</v>
      </c>
    </row>
    <row r="11" spans="1:13">
      <c r="H11" s="66"/>
      <c r="I11" s="66"/>
      <c r="J11" s="66"/>
    </row>
    <row r="12" spans="1:13">
      <c r="H12" s="66"/>
      <c r="I12" s="66"/>
      <c r="J12" s="66"/>
    </row>
    <row r="13" spans="1:13">
      <c r="H13" s="66"/>
      <c r="I13" s="66"/>
      <c r="J13" s="66"/>
    </row>
    <row r="15" spans="1:13">
      <c r="H15" s="66"/>
      <c r="I15" s="66"/>
      <c r="J15" s="66"/>
    </row>
  </sheetData>
  <sheetProtection sheet="1" objects="1" scenarios="1" formatCells="0" formatColumns="0" formatRows="0" insertColumns="0" insertRows="0" sort="0"/>
  <mergeCells count="1">
    <mergeCell ref="H2:M2"/>
  </mergeCells>
  <conditionalFormatting sqref="E1">
    <cfRule type="cellIs" dxfId="11" priority="11" operator="between">
      <formula>0.9</formula>
      <formula>1</formula>
    </cfRule>
    <cfRule type="cellIs" dxfId="10" priority="12" operator="between">
      <formula>0</formula>
      <formula>0.899</formula>
    </cfRule>
  </conditionalFormatting>
  <conditionalFormatting sqref="E3:E7">
    <cfRule type="cellIs" dxfId="9" priority="3" stopIfTrue="1" operator="lessThan">
      <formula>0.5</formula>
    </cfRule>
    <cfRule type="cellIs" dxfId="8" priority="4" operator="lessThan">
      <formula>0.9</formula>
    </cfRule>
  </conditionalFormatting>
  <dataValidations count="1">
    <dataValidation type="list" allowBlank="1" showInputMessage="1" showErrorMessage="1" sqref="D137:D1048576" xr:uid="{E5E4B98B-F6BF-496B-9E14-73F30826DE03}">
      <formula1>$U$2:$U$2</formula1>
    </dataValidation>
  </dataValidations>
  <pageMargins left="0.7" right="0.7" top="0.75" bottom="0.75" header="0.3" footer="0.3"/>
  <headerFooter>
    <oddFooter>&amp;C_x000D_&amp;1#&amp;"Aptos"&amp;10&amp;K000000 Internal</oddFooter>
  </headerFooter>
  <ignoredErrors>
    <ignoredError sqref="E4" 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E5D8E7-6DB7-4E05-8A19-BAD3CC622629}">
          <x14:formula1>
            <xm:f>References!$D$4:$D$20</xm:f>
          </x14:formula1>
          <xm:sqref>D5:D7 D3</xm:sqref>
        </x14:dataValidation>
        <x14:dataValidation type="list" allowBlank="1" showInputMessage="1" showErrorMessage="1" xr:uid="{1736791B-E0A2-449E-AD5C-1ACE2F5E4747}">
          <x14:formula1>
            <xm:f>References!$S$4:$S$20</xm:f>
          </x14:formula1>
          <xm:sqref>D4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35D0-3851-4DDA-9745-73F5D994589A}">
  <sheetPr codeName="Sheet2"/>
  <dimension ref="A1:G19"/>
  <sheetViews>
    <sheetView workbookViewId="0">
      <selection activeCell="F3" sqref="F3"/>
    </sheetView>
  </sheetViews>
  <sheetFormatPr defaultColWidth="10.625" defaultRowHeight="15.75"/>
  <cols>
    <col min="1" max="1" width="21.5" style="1" bestFit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32.85" customHeight="1" thickBot="1">
      <c r="A1" s="44" t="s">
        <v>144</v>
      </c>
      <c r="D1" s="27"/>
      <c r="E1" s="28">
        <f>SUM(E13:E13)/COUNT(E13:E13)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 ht="31.5">
      <c r="A3" s="56" t="s">
        <v>149</v>
      </c>
      <c r="B3" s="9"/>
      <c r="C3" s="76" t="s">
        <v>11</v>
      </c>
      <c r="D3" s="65"/>
      <c r="E3" s="60">
        <f>IF(D3="Yes",1,IF(D3="N/A",1,0))</f>
        <v>0</v>
      </c>
      <c r="F3" s="75" t="s">
        <v>227</v>
      </c>
      <c r="G3" s="19"/>
    </row>
    <row r="4" spans="1:7">
      <c r="A4" s="7" t="s">
        <v>145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145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145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145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145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145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145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145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145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A13" s="7" t="s">
        <v>145</v>
      </c>
      <c r="B13" s="13"/>
      <c r="C13" s="14"/>
      <c r="D13" s="72" t="s">
        <v>40</v>
      </c>
      <c r="E13" s="60">
        <f>VLOOKUP(D13,References!W:X,2,FALSE)</f>
        <v>1</v>
      </c>
      <c r="F13" s="29"/>
      <c r="G13" s="19"/>
    </row>
    <row r="14" spans="1:7">
      <c r="C14" s="54"/>
    </row>
    <row r="15" spans="1:7">
      <c r="C15" s="55"/>
    </row>
    <row r="16" spans="1:7">
      <c r="C16" s="54"/>
    </row>
    <row r="17" spans="3:3">
      <c r="C17" s="55"/>
    </row>
    <row r="18" spans="3:3">
      <c r="C18" s="54"/>
    </row>
    <row r="19" spans="3:3">
      <c r="C19" s="55"/>
    </row>
  </sheetData>
  <sortState xmlns:xlrd2="http://schemas.microsoft.com/office/spreadsheetml/2017/richdata2" ref="C14:C19">
    <sortCondition ref="C14:C19"/>
  </sortState>
  <conditionalFormatting sqref="E1">
    <cfRule type="cellIs" dxfId="7" priority="6" operator="between">
      <formula>0.9</formula>
      <formula>1</formula>
    </cfRule>
    <cfRule type="cellIs" dxfId="6" priority="7" operator="between">
      <formula>0</formula>
      <formula>0.899</formula>
    </cfRule>
  </conditionalFormatting>
  <conditionalFormatting sqref="E3:E13">
    <cfRule type="cellIs" dxfId="5" priority="1" stopIfTrue="1" operator="lessThan">
      <formula>0.5</formula>
    </cfRule>
    <cfRule type="cellIs" dxfId="4" priority="2" operator="lessThan">
      <formula>0.9</formula>
    </cfRule>
  </conditionalFormatting>
  <dataValidations count="1">
    <dataValidation type="list" allowBlank="1" showInputMessage="1" showErrorMessage="1" sqref="D173:D1048576" xr:uid="{6AB8DCC7-8922-4148-AB49-A3EA61D8B470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1A792F-1F86-4369-A944-66C08DF1DD79}">
          <x14:formula1>
            <xm:f>References!$W$4:$W$20</xm:f>
          </x14:formula1>
          <xm:sqref>D4:D13</xm:sqref>
        </x14:dataValidation>
        <x14:dataValidation type="list" allowBlank="1" showInputMessage="1" showErrorMessage="1" xr:uid="{12BCCAE3-6C11-4149-A51D-306F57C9909C}">
          <x14:formula1>
            <xm:f>References!$R$4:$R$20</xm:f>
          </x14:formula1>
          <xm:sqref>D3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CF66-8513-44C5-8618-D6E8DE343402}">
  <sheetPr codeName="Sheet4"/>
  <dimension ref="A1:G18"/>
  <sheetViews>
    <sheetView workbookViewId="0"/>
  </sheetViews>
  <sheetFormatPr defaultColWidth="10.625" defaultRowHeight="15.75"/>
  <cols>
    <col min="1" max="1" width="22.625" style="1" customWidth="1"/>
    <col min="2" max="2" width="31.625" style="1" hidden="1" customWidth="1"/>
    <col min="3" max="3" width="54" style="5" customWidth="1"/>
    <col min="4" max="4" width="32.625" style="6" customWidth="1"/>
    <col min="5" max="5" width="23.125" style="2" customWidth="1"/>
    <col min="6" max="6" width="35" style="4" customWidth="1"/>
    <col min="7" max="7" width="56.125" style="5" customWidth="1"/>
    <col min="8" max="16384" width="10.625" style="1"/>
  </cols>
  <sheetData>
    <row r="1" spans="1:7" ht="54.75" customHeight="1" thickBot="1">
      <c r="A1" s="52" t="s">
        <v>146</v>
      </c>
      <c r="D1" s="27"/>
      <c r="E1" s="28">
        <f>SUM(E12:E12)/COUNT(E12:E12)</f>
        <v>1</v>
      </c>
    </row>
    <row r="2" spans="1:7" s="16" customFormat="1" ht="72" customHeight="1">
      <c r="A2" s="61" t="s">
        <v>1</v>
      </c>
      <c r="B2" s="62" t="s">
        <v>2</v>
      </c>
      <c r="C2" s="62" t="s">
        <v>3</v>
      </c>
      <c r="D2" s="62" t="s">
        <v>4</v>
      </c>
      <c r="E2" s="59" t="s">
        <v>158</v>
      </c>
      <c r="F2" s="62" t="s">
        <v>159</v>
      </c>
      <c r="G2" s="62" t="s">
        <v>157</v>
      </c>
    </row>
    <row r="3" spans="1:7">
      <c r="A3" s="7" t="s">
        <v>147</v>
      </c>
      <c r="B3" s="13"/>
      <c r="C3" s="14"/>
      <c r="D3" s="72" t="s">
        <v>40</v>
      </c>
      <c r="E3" s="60">
        <f>VLOOKUP(D3,References!W:X,2,FALSE)</f>
        <v>1</v>
      </c>
      <c r="F3" s="29"/>
      <c r="G3" s="19"/>
    </row>
    <row r="4" spans="1:7">
      <c r="A4" s="7" t="s">
        <v>147</v>
      </c>
      <c r="B4" s="13"/>
      <c r="C4" s="14"/>
      <c r="D4" s="72" t="s">
        <v>40</v>
      </c>
      <c r="E4" s="60">
        <f>VLOOKUP(D4,References!W:X,2,FALSE)</f>
        <v>1</v>
      </c>
      <c r="F4" s="29"/>
      <c r="G4" s="19"/>
    </row>
    <row r="5" spans="1:7">
      <c r="A5" s="7" t="s">
        <v>147</v>
      </c>
      <c r="B5" s="13"/>
      <c r="C5" s="14"/>
      <c r="D5" s="72" t="s">
        <v>40</v>
      </c>
      <c r="E5" s="60">
        <f>VLOOKUP(D5,References!W:X,2,FALSE)</f>
        <v>1</v>
      </c>
      <c r="F5" s="29"/>
      <c r="G5" s="19"/>
    </row>
    <row r="6" spans="1:7">
      <c r="A6" s="7" t="s">
        <v>147</v>
      </c>
      <c r="B6" s="13"/>
      <c r="C6" s="14"/>
      <c r="D6" s="72" t="s">
        <v>40</v>
      </c>
      <c r="E6" s="60">
        <f>VLOOKUP(D6,References!W:X,2,FALSE)</f>
        <v>1</v>
      </c>
      <c r="F6" s="29"/>
      <c r="G6" s="19"/>
    </row>
    <row r="7" spans="1:7">
      <c r="A7" s="7" t="s">
        <v>147</v>
      </c>
      <c r="B7" s="13"/>
      <c r="C7" s="14"/>
      <c r="D7" s="72" t="s">
        <v>40</v>
      </c>
      <c r="E7" s="60">
        <f>VLOOKUP(D7,References!W:X,2,FALSE)</f>
        <v>1</v>
      </c>
      <c r="F7" s="29"/>
      <c r="G7" s="19"/>
    </row>
    <row r="8" spans="1:7">
      <c r="A8" s="7" t="s">
        <v>147</v>
      </c>
      <c r="B8" s="13"/>
      <c r="C8" s="14"/>
      <c r="D8" s="72" t="s">
        <v>40</v>
      </c>
      <c r="E8" s="60">
        <f>VLOOKUP(D8,References!W:X,2,FALSE)</f>
        <v>1</v>
      </c>
      <c r="F8" s="29"/>
      <c r="G8" s="19"/>
    </row>
    <row r="9" spans="1:7">
      <c r="A9" s="7" t="s">
        <v>147</v>
      </c>
      <c r="B9" s="13"/>
      <c r="C9" s="14"/>
      <c r="D9" s="72" t="s">
        <v>40</v>
      </c>
      <c r="E9" s="60">
        <f>VLOOKUP(D9,References!W:X,2,FALSE)</f>
        <v>1</v>
      </c>
      <c r="F9" s="29"/>
      <c r="G9" s="19"/>
    </row>
    <row r="10" spans="1:7">
      <c r="A10" s="7" t="s">
        <v>147</v>
      </c>
      <c r="B10" s="13"/>
      <c r="C10" s="14"/>
      <c r="D10" s="72" t="s">
        <v>40</v>
      </c>
      <c r="E10" s="60">
        <f>VLOOKUP(D10,References!W:X,2,FALSE)</f>
        <v>1</v>
      </c>
      <c r="F10" s="29"/>
      <c r="G10" s="19"/>
    </row>
    <row r="11" spans="1:7">
      <c r="A11" s="7" t="s">
        <v>147</v>
      </c>
      <c r="B11" s="13"/>
      <c r="C11" s="14"/>
      <c r="D11" s="72" t="s">
        <v>40</v>
      </c>
      <c r="E11" s="60">
        <f>VLOOKUP(D11,References!W:X,2,FALSE)</f>
        <v>1</v>
      </c>
      <c r="F11" s="29"/>
      <c r="G11" s="19"/>
    </row>
    <row r="12" spans="1:7">
      <c r="A12" s="7" t="s">
        <v>147</v>
      </c>
      <c r="B12" s="13"/>
      <c r="C12" s="14"/>
      <c r="D12" s="72" t="s">
        <v>40</v>
      </c>
      <c r="E12" s="60">
        <f>VLOOKUP(D12,References!W:X,2,FALSE)</f>
        <v>1</v>
      </c>
      <c r="F12" s="29"/>
      <c r="G12" s="19"/>
    </row>
    <row r="13" spans="1:7">
      <c r="E13" s="60"/>
    </row>
    <row r="15" spans="1:7">
      <c r="C15" s="54"/>
    </row>
    <row r="16" spans="1:7">
      <c r="C16" s="55"/>
    </row>
    <row r="17" spans="3:3">
      <c r="C17" s="54"/>
    </row>
    <row r="18" spans="3:3">
      <c r="C18" s="55"/>
    </row>
  </sheetData>
  <sortState xmlns:xlrd2="http://schemas.microsoft.com/office/spreadsheetml/2017/richdata2" ref="C15:C18">
    <sortCondition ref="C15:C18"/>
  </sortState>
  <conditionalFormatting sqref="E1">
    <cfRule type="cellIs" dxfId="3" priority="5" operator="between">
      <formula>0.9</formula>
      <formula>1</formula>
    </cfRule>
    <cfRule type="cellIs" dxfId="2" priority="6" operator="between">
      <formula>0</formula>
      <formula>0.899</formula>
    </cfRule>
  </conditionalFormatting>
  <conditionalFormatting sqref="E3:E13">
    <cfRule type="cellIs" dxfId="1" priority="1" stopIfTrue="1" operator="lessThan">
      <formula>0.5</formula>
    </cfRule>
    <cfRule type="cellIs" dxfId="0" priority="2" operator="lessThan">
      <formula>0.9</formula>
    </cfRule>
  </conditionalFormatting>
  <dataValidations count="1">
    <dataValidation type="list" allowBlank="1" showInputMessage="1" showErrorMessage="1" sqref="D147:D1048576" xr:uid="{AF503670-B2D5-42AA-9254-760C02E0BC3A}">
      <formula1>$R$2:$R$2</formula1>
    </dataValidation>
  </dataValidations>
  <pageMargins left="0.7" right="0.7" top="0.75" bottom="0.75" header="0.3" footer="0.3"/>
  <headerFooter>
    <oddFooter>&amp;C_x000D_&amp;1#&amp;"Aptos"&amp;10&amp;K000000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0EC2FF-5040-4262-95B3-B81D03C31F87}">
          <x14:formula1>
            <xm:f>References!$W$4:$W$20</xm:f>
          </x14:formula1>
          <xm:sqref>D3:D12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1053-1187-4D59-B7AA-0F9152EADFF2}">
  <dimension ref="A1:AZ31"/>
  <sheetViews>
    <sheetView topLeftCell="O1" workbookViewId="0">
      <selection activeCell="AC14" sqref="AC14"/>
    </sheetView>
  </sheetViews>
  <sheetFormatPr defaultColWidth="8.625" defaultRowHeight="15.75"/>
  <cols>
    <col min="1" max="1" width="23.5" bestFit="1" customWidth="1"/>
    <col min="2" max="2" width="32.5" bestFit="1" customWidth="1"/>
    <col min="3" max="3" width="5.5" customWidth="1"/>
    <col min="4" max="4" width="10.125" bestFit="1" customWidth="1"/>
    <col min="5" max="5" width="3.875" bestFit="1" customWidth="1"/>
    <col min="6" max="6" width="10.125" bestFit="1" customWidth="1"/>
    <col min="7" max="7" width="1.875" bestFit="1" customWidth="1"/>
    <col min="8" max="8" width="17.125" bestFit="1" customWidth="1"/>
    <col min="9" max="9" width="3.875" bestFit="1" customWidth="1"/>
    <col min="10" max="10" width="3.625" bestFit="1" customWidth="1"/>
    <col min="11" max="11" width="3.5" bestFit="1" customWidth="1"/>
    <col min="12" max="13" width="2.5" bestFit="1" customWidth="1"/>
    <col min="14" max="14" width="36.625" bestFit="1" customWidth="1"/>
    <col min="15" max="15" width="2.5" bestFit="1" customWidth="1"/>
    <col min="16" max="16" width="8.375" bestFit="1" customWidth="1"/>
    <col min="17" max="17" width="2.5" bestFit="1" customWidth="1"/>
    <col min="18" max="18" width="11.625" bestFit="1" customWidth="1"/>
    <col min="19" max="19" width="32.625" bestFit="1" customWidth="1"/>
    <col min="20" max="21" width="9.625" customWidth="1"/>
    <col min="22" max="22" width="10.375" customWidth="1"/>
    <col min="23" max="23" width="29" customWidth="1"/>
    <col min="24" max="24" width="3.875" bestFit="1" customWidth="1"/>
    <col min="25" max="25" width="27.625" customWidth="1"/>
    <col min="26" max="26" width="3.875" bestFit="1" customWidth="1"/>
    <col min="27" max="27" width="20.5" customWidth="1"/>
    <col min="28" max="28" width="4.125" customWidth="1"/>
    <col min="29" max="29" width="28" bestFit="1" customWidth="1"/>
    <col min="30" max="30" width="4.125" customWidth="1"/>
    <col min="31" max="31" width="33.625" bestFit="1" customWidth="1"/>
    <col min="33" max="33" width="20.125" customWidth="1"/>
    <col min="34" max="34" width="4.625" customWidth="1"/>
    <col min="35" max="35" width="57.875" style="94" bestFit="1" customWidth="1"/>
    <col min="36" max="36" width="6.375" customWidth="1"/>
    <col min="37" max="37" width="12.375" customWidth="1"/>
    <col min="38" max="38" width="7.125" customWidth="1"/>
    <col min="39" max="39" width="27.375" customWidth="1"/>
    <col min="40" max="40" width="6.125" customWidth="1"/>
    <col min="41" max="41" width="50.375" style="94" bestFit="1" customWidth="1"/>
    <col min="42" max="42" width="7.625" style="94" customWidth="1"/>
    <col min="43" max="43" width="27.875" customWidth="1"/>
    <col min="44" max="44" width="7.625" style="94" customWidth="1"/>
    <col min="45" max="45" width="27.875" customWidth="1"/>
    <col min="46" max="46" width="7.625" style="94" customWidth="1"/>
    <col min="47" max="47" width="27.875" customWidth="1"/>
    <col min="48" max="48" width="7.625" style="94" customWidth="1"/>
    <col min="49" max="49" width="57.875" style="94" bestFit="1" customWidth="1"/>
    <col min="50" max="50" width="7.625" style="94" customWidth="1"/>
    <col min="51" max="51" width="33.375" bestFit="1" customWidth="1"/>
  </cols>
  <sheetData>
    <row r="1" spans="1:52" s="73" customFormat="1" ht="23.25">
      <c r="A1" s="73" t="s">
        <v>211</v>
      </c>
      <c r="P1" s="73" t="s">
        <v>211</v>
      </c>
      <c r="W1" s="73" t="s">
        <v>211</v>
      </c>
      <c r="AE1" s="73" t="s">
        <v>211</v>
      </c>
      <c r="AI1" s="118"/>
      <c r="AO1" s="118"/>
      <c r="AP1" s="118"/>
      <c r="AR1" s="118"/>
      <c r="AT1" s="118"/>
      <c r="AV1" s="118"/>
      <c r="AW1" s="118"/>
      <c r="AX1" s="118"/>
    </row>
    <row r="2" spans="1:52">
      <c r="S2" s="181" t="s">
        <v>323</v>
      </c>
      <c r="T2" s="181"/>
      <c r="U2" s="181"/>
      <c r="V2" s="181"/>
    </row>
    <row r="3" spans="1:52">
      <c r="A3" t="s">
        <v>46</v>
      </c>
      <c r="B3" s="182" t="s">
        <v>14</v>
      </c>
      <c r="C3" s="182"/>
      <c r="D3" s="182" t="s">
        <v>161</v>
      </c>
      <c r="E3" s="182"/>
      <c r="F3" s="182" t="s">
        <v>162</v>
      </c>
      <c r="G3" s="182"/>
      <c r="H3" s="181" t="s">
        <v>160</v>
      </c>
      <c r="I3" s="181"/>
      <c r="J3" s="181" t="s">
        <v>167</v>
      </c>
      <c r="K3" s="181"/>
      <c r="L3" s="74"/>
      <c r="M3" s="74"/>
      <c r="N3" s="181" t="s">
        <v>47</v>
      </c>
      <c r="O3" s="181"/>
      <c r="P3" s="181" t="s">
        <v>153</v>
      </c>
      <c r="Q3" s="181"/>
      <c r="R3" s="3" t="s">
        <v>48</v>
      </c>
      <c r="S3" s="3" t="s">
        <v>208</v>
      </c>
      <c r="T3" s="3" t="s">
        <v>207</v>
      </c>
      <c r="U3" s="3" t="s">
        <v>209</v>
      </c>
      <c r="V3" s="3" t="s">
        <v>210</v>
      </c>
      <c r="W3" s="181" t="s">
        <v>133</v>
      </c>
      <c r="X3" s="181"/>
      <c r="Y3" s="181" t="s">
        <v>134</v>
      </c>
      <c r="Z3" s="181"/>
      <c r="AA3" s="181" t="s">
        <v>173</v>
      </c>
      <c r="AB3" s="181"/>
      <c r="AC3" s="181" t="s">
        <v>174</v>
      </c>
      <c r="AD3" s="181"/>
      <c r="AE3" s="181" t="s">
        <v>188</v>
      </c>
      <c r="AF3" s="181"/>
      <c r="AG3" s="181" t="s">
        <v>201</v>
      </c>
      <c r="AH3" s="181"/>
      <c r="AI3" s="181" t="s">
        <v>310</v>
      </c>
      <c r="AJ3" s="181"/>
      <c r="AK3" s="181" t="s">
        <v>315</v>
      </c>
      <c r="AL3" s="181"/>
      <c r="AM3" s="181" t="s">
        <v>311</v>
      </c>
      <c r="AN3" s="181"/>
      <c r="AO3" s="181" t="s">
        <v>294</v>
      </c>
      <c r="AP3" s="181"/>
      <c r="AQ3" s="181" t="s">
        <v>305</v>
      </c>
      <c r="AR3" s="181"/>
      <c r="AS3" s="181" t="s">
        <v>298</v>
      </c>
      <c r="AT3" s="181"/>
      <c r="AU3" s="181" t="s">
        <v>301</v>
      </c>
      <c r="AV3" s="181"/>
      <c r="AW3" s="181" t="s">
        <v>310</v>
      </c>
      <c r="AX3" s="181"/>
      <c r="AY3" s="181" t="s">
        <v>324</v>
      </c>
      <c r="AZ3" s="181"/>
    </row>
    <row r="4" spans="1:52">
      <c r="A4" t="s">
        <v>49</v>
      </c>
      <c r="B4" s="57" t="s">
        <v>112</v>
      </c>
      <c r="C4" s="57">
        <v>1</v>
      </c>
      <c r="D4" s="57" t="s">
        <v>41</v>
      </c>
      <c r="E4" s="57">
        <v>0</v>
      </c>
      <c r="F4" s="57" t="s">
        <v>41</v>
      </c>
      <c r="G4" s="57">
        <v>1</v>
      </c>
      <c r="H4" s="1" t="s">
        <v>40</v>
      </c>
      <c r="I4">
        <v>1</v>
      </c>
      <c r="J4" s="1" t="s">
        <v>40</v>
      </c>
      <c r="K4">
        <v>1</v>
      </c>
      <c r="L4" s="1">
        <v>1</v>
      </c>
      <c r="M4" s="1">
        <v>1</v>
      </c>
      <c r="N4" s="1" t="s">
        <v>63</v>
      </c>
      <c r="O4" s="1">
        <v>1</v>
      </c>
      <c r="P4" s="1" t="s">
        <v>154</v>
      </c>
      <c r="Q4" s="1">
        <v>1</v>
      </c>
      <c r="R4" s="1" t="s">
        <v>40</v>
      </c>
      <c r="S4" s="1" t="s">
        <v>118</v>
      </c>
      <c r="T4">
        <f t="shared" ref="T4:T20" si="0">IF(ARBType="Solution Design - Final",U4,V4)</f>
        <v>1</v>
      </c>
      <c r="U4">
        <v>1</v>
      </c>
      <c r="V4">
        <v>1</v>
      </c>
      <c r="W4" s="1" t="s">
        <v>45</v>
      </c>
      <c r="X4">
        <v>1</v>
      </c>
      <c r="Y4" s="1" t="s">
        <v>45</v>
      </c>
      <c r="Z4">
        <v>1</v>
      </c>
      <c r="AA4" t="s">
        <v>175</v>
      </c>
      <c r="AB4">
        <v>1</v>
      </c>
      <c r="AC4" t="s">
        <v>180</v>
      </c>
      <c r="AD4">
        <v>1</v>
      </c>
      <c r="AE4" t="s">
        <v>189</v>
      </c>
      <c r="AF4">
        <v>1</v>
      </c>
      <c r="AG4" t="s">
        <v>202</v>
      </c>
      <c r="AH4">
        <v>1</v>
      </c>
      <c r="AI4" s="5" t="s">
        <v>250</v>
      </c>
      <c r="AJ4">
        <v>1</v>
      </c>
      <c r="AK4" t="s">
        <v>344</v>
      </c>
      <c r="AL4">
        <v>1</v>
      </c>
      <c r="AM4" t="str">
        <f t="shared" ref="AM4:AM30" si="1">IF(ArchDomain="Compute",AO4,IF(ArchDomain="Call Center",AQ4,IF(ArchDomain="GenAI",AS4,IF(ArchDomain="Network",AO4,IF(ArchDomain="Desktop",AU4,AW4)))))</f>
        <v>US - ADC - Cedar Rapids</v>
      </c>
      <c r="AN4">
        <f t="shared" ref="AN4:AN30" si="2">IF(ArchDomain="Compute",AP4,IF(ArchDomain="Call Center",AR4,IF(ArchDomain="GenAI",AT4,IF(ArchDomain="Network",AP4,IF(ArchDomain="Desktop",AV4,AX4)))))</f>
        <v>1</v>
      </c>
      <c r="AO4" s="5" t="s">
        <v>250</v>
      </c>
      <c r="AP4" s="5">
        <v>1</v>
      </c>
      <c r="AQ4" s="5" t="s">
        <v>250</v>
      </c>
      <c r="AR4" s="5">
        <v>1</v>
      </c>
      <c r="AS4" s="5" t="s">
        <v>295</v>
      </c>
      <c r="AT4" s="5">
        <v>1</v>
      </c>
      <c r="AU4" s="5" t="s">
        <v>250</v>
      </c>
      <c r="AV4" s="5">
        <v>1</v>
      </c>
      <c r="AW4" s="5" t="s">
        <v>250</v>
      </c>
      <c r="AX4">
        <v>1</v>
      </c>
      <c r="AY4" s="1" t="s">
        <v>325</v>
      </c>
      <c r="AZ4">
        <v>1</v>
      </c>
    </row>
    <row r="5" spans="1:52">
      <c r="B5" s="57" t="s">
        <v>50</v>
      </c>
      <c r="C5" s="1">
        <v>0.9</v>
      </c>
      <c r="D5" s="1" t="s">
        <v>43</v>
      </c>
      <c r="E5" s="1">
        <v>0.5</v>
      </c>
      <c r="F5" s="1" t="s">
        <v>40</v>
      </c>
      <c r="G5" s="1">
        <v>0</v>
      </c>
      <c r="H5" s="1" t="s">
        <v>152</v>
      </c>
      <c r="I5">
        <v>0.5</v>
      </c>
      <c r="J5" s="1" t="s">
        <v>41</v>
      </c>
      <c r="K5">
        <v>-1</v>
      </c>
      <c r="L5" s="1">
        <v>1</v>
      </c>
      <c r="M5" s="1">
        <v>1</v>
      </c>
      <c r="N5" s="1" t="s">
        <v>57</v>
      </c>
      <c r="O5" s="1">
        <v>1</v>
      </c>
      <c r="P5" s="1" t="s">
        <v>155</v>
      </c>
      <c r="Q5" s="1">
        <v>1</v>
      </c>
      <c r="R5" s="1" t="s">
        <v>41</v>
      </c>
      <c r="S5" s="1" t="s">
        <v>116</v>
      </c>
      <c r="T5">
        <f t="shared" si="0"/>
        <v>1</v>
      </c>
      <c r="U5">
        <v>-1</v>
      </c>
      <c r="V5">
        <v>1</v>
      </c>
      <c r="W5" s="1" t="s">
        <v>131</v>
      </c>
      <c r="X5">
        <v>1</v>
      </c>
      <c r="Y5" s="1" t="s">
        <v>131</v>
      </c>
      <c r="Z5">
        <v>1</v>
      </c>
      <c r="AA5" t="s">
        <v>176</v>
      </c>
      <c r="AB5">
        <v>1</v>
      </c>
      <c r="AC5" t="s">
        <v>181</v>
      </c>
      <c r="AD5">
        <v>1</v>
      </c>
      <c r="AE5" t="s">
        <v>190</v>
      </c>
      <c r="AF5">
        <v>1</v>
      </c>
      <c r="AG5" t="s">
        <v>203</v>
      </c>
      <c r="AH5">
        <v>1</v>
      </c>
      <c r="AI5" s="5" t="s">
        <v>251</v>
      </c>
      <c r="AJ5">
        <v>1</v>
      </c>
      <c r="AK5" t="s">
        <v>306</v>
      </c>
      <c r="AL5">
        <v>1</v>
      </c>
      <c r="AM5" t="str">
        <f t="shared" si="1"/>
        <v>EU - EDC - Edinburgh</v>
      </c>
      <c r="AN5">
        <f t="shared" si="2"/>
        <v>1</v>
      </c>
      <c r="AO5" s="5" t="s">
        <v>251</v>
      </c>
      <c r="AP5" s="5">
        <v>1</v>
      </c>
      <c r="AQ5" s="5" t="s">
        <v>251</v>
      </c>
      <c r="AR5" s="5">
        <v>1</v>
      </c>
      <c r="AS5" s="5" t="s">
        <v>299</v>
      </c>
      <c r="AT5" s="5">
        <v>1</v>
      </c>
      <c r="AU5" s="5" t="s">
        <v>251</v>
      </c>
      <c r="AV5" s="5">
        <v>1</v>
      </c>
      <c r="AW5" s="5" t="s">
        <v>251</v>
      </c>
      <c r="AX5">
        <v>1</v>
      </c>
      <c r="AY5" s="1" t="s">
        <v>326</v>
      </c>
      <c r="AZ5">
        <v>-1</v>
      </c>
    </row>
    <row r="6" spans="1:52">
      <c r="B6" s="57" t="s">
        <v>52</v>
      </c>
      <c r="C6" s="1">
        <v>0.75</v>
      </c>
      <c r="D6" s="1" t="s">
        <v>8</v>
      </c>
      <c r="E6" s="1">
        <v>1</v>
      </c>
      <c r="F6" s="1" t="s">
        <v>8</v>
      </c>
      <c r="G6" s="1">
        <v>1</v>
      </c>
      <c r="H6" s="1" t="s">
        <v>41</v>
      </c>
      <c r="I6">
        <v>0</v>
      </c>
      <c r="J6" s="1"/>
      <c r="K6">
        <v>0</v>
      </c>
      <c r="L6" s="1">
        <v>1</v>
      </c>
      <c r="M6" s="1">
        <v>1</v>
      </c>
      <c r="N6" s="1" t="s">
        <v>64</v>
      </c>
      <c r="O6" s="1">
        <v>1</v>
      </c>
      <c r="P6" s="1" t="s">
        <v>156</v>
      </c>
      <c r="Q6" s="1">
        <v>1</v>
      </c>
      <c r="R6" s="1" t="s">
        <v>8</v>
      </c>
      <c r="S6" s="1" t="s">
        <v>115</v>
      </c>
      <c r="T6">
        <f t="shared" si="0"/>
        <v>1</v>
      </c>
      <c r="U6">
        <v>-1</v>
      </c>
      <c r="V6">
        <v>1</v>
      </c>
      <c r="W6" s="1" t="s">
        <v>132</v>
      </c>
      <c r="X6">
        <v>0.5</v>
      </c>
      <c r="Y6" s="1" t="s">
        <v>132</v>
      </c>
      <c r="Z6">
        <v>0.5</v>
      </c>
      <c r="AA6" t="s">
        <v>177</v>
      </c>
      <c r="AB6">
        <v>1</v>
      </c>
      <c r="AC6" t="s">
        <v>182</v>
      </c>
      <c r="AD6">
        <v>1</v>
      </c>
      <c r="AE6" t="s">
        <v>191</v>
      </c>
      <c r="AF6">
        <v>0.5</v>
      </c>
      <c r="AG6" t="s">
        <v>204</v>
      </c>
      <c r="AH6">
        <v>1</v>
      </c>
      <c r="AI6" s="5" t="s">
        <v>255</v>
      </c>
      <c r="AJ6">
        <v>1</v>
      </c>
      <c r="AK6" t="s">
        <v>307</v>
      </c>
      <c r="AL6">
        <v>1</v>
      </c>
      <c r="AM6" t="str">
        <f t="shared" si="1"/>
        <v>Multiple Datacenters/Clouds</v>
      </c>
      <c r="AN6">
        <f t="shared" si="2"/>
        <v>1</v>
      </c>
      <c r="AO6" s="5" t="s">
        <v>255</v>
      </c>
      <c r="AP6" s="5">
        <v>1</v>
      </c>
      <c r="AQ6" s="5" t="s">
        <v>255</v>
      </c>
      <c r="AR6" s="5">
        <v>1</v>
      </c>
      <c r="AS6" s="5" t="s">
        <v>253</v>
      </c>
      <c r="AT6" s="5">
        <v>1</v>
      </c>
      <c r="AU6" s="5" t="s">
        <v>255</v>
      </c>
      <c r="AV6" s="5">
        <v>1</v>
      </c>
      <c r="AW6" s="5" t="s">
        <v>350</v>
      </c>
      <c r="AX6">
        <v>1</v>
      </c>
      <c r="AY6" s="1" t="s">
        <v>327</v>
      </c>
      <c r="AZ6">
        <v>-1</v>
      </c>
    </row>
    <row r="7" spans="1:52">
      <c r="B7" s="57" t="s">
        <v>53</v>
      </c>
      <c r="C7" s="1">
        <v>0.5</v>
      </c>
      <c r="D7" s="1" t="s">
        <v>40</v>
      </c>
      <c r="E7" s="1">
        <v>1</v>
      </c>
      <c r="F7" s="1" t="s">
        <v>59</v>
      </c>
      <c r="G7" s="1">
        <v>0</v>
      </c>
      <c r="H7" s="1" t="s">
        <v>8</v>
      </c>
      <c r="I7" s="1">
        <v>1</v>
      </c>
      <c r="J7" s="1"/>
      <c r="K7" s="1">
        <v>0</v>
      </c>
      <c r="L7" s="1">
        <v>1</v>
      </c>
      <c r="M7" s="1">
        <v>0</v>
      </c>
      <c r="N7" s="1" t="s">
        <v>55</v>
      </c>
      <c r="O7" s="1">
        <v>1</v>
      </c>
      <c r="P7" s="1" t="s">
        <v>60</v>
      </c>
      <c r="Q7" s="1">
        <v>-1</v>
      </c>
      <c r="S7" s="1" t="s">
        <v>114</v>
      </c>
      <c r="T7">
        <f t="shared" si="0"/>
        <v>1</v>
      </c>
      <c r="U7">
        <v>1</v>
      </c>
      <c r="V7">
        <v>1</v>
      </c>
      <c r="W7" s="1" t="s">
        <v>54</v>
      </c>
      <c r="X7">
        <v>0</v>
      </c>
      <c r="Y7" s="1" t="s">
        <v>54</v>
      </c>
      <c r="Z7">
        <v>0</v>
      </c>
      <c r="AA7" t="s">
        <v>178</v>
      </c>
      <c r="AB7">
        <v>1</v>
      </c>
      <c r="AC7" t="s">
        <v>183</v>
      </c>
      <c r="AD7">
        <v>1</v>
      </c>
      <c r="AE7" t="s">
        <v>192</v>
      </c>
      <c r="AF7">
        <v>0</v>
      </c>
      <c r="AG7" t="s">
        <v>205</v>
      </c>
      <c r="AH7">
        <v>1</v>
      </c>
      <c r="AI7" s="5" t="s">
        <v>252</v>
      </c>
      <c r="AJ7">
        <v>1</v>
      </c>
      <c r="AK7" t="s">
        <v>308</v>
      </c>
      <c r="AL7">
        <v>1</v>
      </c>
      <c r="AM7" t="str">
        <f t="shared" si="1"/>
        <v>AWS - Ireland</v>
      </c>
      <c r="AN7">
        <f t="shared" si="2"/>
        <v>1</v>
      </c>
      <c r="AO7" s="5" t="s">
        <v>299</v>
      </c>
      <c r="AP7" s="5">
        <v>1</v>
      </c>
      <c r="AQ7" s="5" t="s">
        <v>295</v>
      </c>
      <c r="AR7" s="5">
        <v>1</v>
      </c>
      <c r="AS7" s="5" t="s">
        <v>300</v>
      </c>
      <c r="AT7" s="5">
        <v>1</v>
      </c>
      <c r="AU7" s="5" t="s">
        <v>267</v>
      </c>
      <c r="AV7" s="5">
        <v>1</v>
      </c>
      <c r="AW7" s="5" t="s">
        <v>252</v>
      </c>
      <c r="AX7">
        <v>1</v>
      </c>
      <c r="AY7" s="1" t="s">
        <v>328</v>
      </c>
      <c r="AZ7">
        <v>1</v>
      </c>
    </row>
    <row r="8" spans="1:52">
      <c r="B8" s="57" t="s">
        <v>56</v>
      </c>
      <c r="C8" s="1">
        <v>0.4</v>
      </c>
      <c r="D8" s="1" t="s">
        <v>59</v>
      </c>
      <c r="E8" s="1">
        <v>0</v>
      </c>
      <c r="F8" s="1"/>
      <c r="G8" s="1">
        <v>0</v>
      </c>
      <c r="H8" s="1"/>
      <c r="I8">
        <v>0</v>
      </c>
      <c r="J8" s="1"/>
      <c r="K8">
        <v>0</v>
      </c>
      <c r="L8" s="1">
        <v>1</v>
      </c>
      <c r="M8" s="1">
        <v>1</v>
      </c>
      <c r="N8" s="1" t="s">
        <v>51</v>
      </c>
      <c r="O8" s="1">
        <v>1</v>
      </c>
      <c r="P8" s="1" t="s">
        <v>8</v>
      </c>
      <c r="Q8" s="1">
        <v>1</v>
      </c>
      <c r="S8" s="1" t="s">
        <v>151</v>
      </c>
      <c r="T8">
        <f t="shared" si="0"/>
        <v>1</v>
      </c>
      <c r="U8">
        <v>0.75</v>
      </c>
      <c r="V8">
        <v>1</v>
      </c>
      <c r="W8" s="1" t="s">
        <v>40</v>
      </c>
      <c r="X8">
        <v>1</v>
      </c>
      <c r="Y8" s="1" t="s">
        <v>40</v>
      </c>
      <c r="Z8">
        <v>0</v>
      </c>
      <c r="AA8" t="s">
        <v>179</v>
      </c>
      <c r="AB8">
        <v>1</v>
      </c>
      <c r="AC8" t="s">
        <v>184</v>
      </c>
      <c r="AD8">
        <v>1</v>
      </c>
      <c r="AE8" t="s">
        <v>193</v>
      </c>
      <c r="AF8">
        <v>0</v>
      </c>
      <c r="AG8" t="s">
        <v>206</v>
      </c>
      <c r="AH8">
        <v>1</v>
      </c>
      <c r="AI8" s="5" t="s">
        <v>261</v>
      </c>
      <c r="AJ8">
        <v>1</v>
      </c>
      <c r="AK8" t="s">
        <v>309</v>
      </c>
      <c r="AL8">
        <v>1</v>
      </c>
      <c r="AM8" t="str">
        <f t="shared" si="1"/>
        <v>AWS - US East (N. Virginia + Ohio)</v>
      </c>
      <c r="AN8">
        <f t="shared" si="2"/>
        <v>1</v>
      </c>
      <c r="AO8" s="5" t="s">
        <v>261</v>
      </c>
      <c r="AP8" s="5">
        <v>1</v>
      </c>
      <c r="AQ8" t="s">
        <v>303</v>
      </c>
      <c r="AR8" s="5">
        <v>1</v>
      </c>
      <c r="AS8" s="5" t="s">
        <v>267</v>
      </c>
      <c r="AT8" s="5">
        <v>1</v>
      </c>
      <c r="AU8" s="5" t="s">
        <v>263</v>
      </c>
      <c r="AV8" s="5">
        <v>1</v>
      </c>
      <c r="AW8" s="5" t="s">
        <v>261</v>
      </c>
      <c r="AX8">
        <v>1</v>
      </c>
      <c r="AY8" s="1" t="s">
        <v>329</v>
      </c>
      <c r="AZ8">
        <v>-1</v>
      </c>
    </row>
    <row r="9" spans="1:52">
      <c r="B9" s="1" t="s">
        <v>113</v>
      </c>
      <c r="C9" s="1">
        <v>0</v>
      </c>
      <c r="D9" s="1"/>
      <c r="E9" s="1">
        <v>0</v>
      </c>
      <c r="F9" s="1"/>
      <c r="G9" s="1">
        <v>0</v>
      </c>
      <c r="I9">
        <v>0</v>
      </c>
      <c r="K9">
        <v>0</v>
      </c>
      <c r="L9" s="1">
        <v>0</v>
      </c>
      <c r="M9" s="1">
        <v>0</v>
      </c>
      <c r="N9" s="1" t="s">
        <v>223</v>
      </c>
      <c r="O9" s="1">
        <v>1</v>
      </c>
      <c r="P9" s="1"/>
      <c r="Q9" s="1">
        <v>0</v>
      </c>
      <c r="S9" s="1" t="s">
        <v>117</v>
      </c>
      <c r="T9">
        <f t="shared" si="0"/>
        <v>-1</v>
      </c>
      <c r="U9">
        <v>-5</v>
      </c>
      <c r="V9">
        <v>-1</v>
      </c>
      <c r="W9" s="1" t="s">
        <v>41</v>
      </c>
      <c r="X9">
        <v>0</v>
      </c>
      <c r="Y9" s="1" t="s">
        <v>41</v>
      </c>
      <c r="Z9">
        <v>1</v>
      </c>
      <c r="AA9" t="s">
        <v>60</v>
      </c>
      <c r="AB9">
        <v>-1</v>
      </c>
      <c r="AC9" t="s">
        <v>60</v>
      </c>
      <c r="AD9">
        <v>-1</v>
      </c>
      <c r="AE9" t="s">
        <v>194</v>
      </c>
      <c r="AF9">
        <v>1</v>
      </c>
      <c r="AG9" t="s">
        <v>60</v>
      </c>
      <c r="AH9">
        <v>0</v>
      </c>
      <c r="AI9" s="5" t="s">
        <v>295</v>
      </c>
      <c r="AJ9">
        <v>1</v>
      </c>
      <c r="AK9" t="s">
        <v>62</v>
      </c>
      <c r="AL9">
        <v>1</v>
      </c>
      <c r="AM9" t="str">
        <f t="shared" si="1"/>
        <v>AWS - US East (N. Virginia)</v>
      </c>
      <c r="AN9">
        <f t="shared" si="2"/>
        <v>1</v>
      </c>
      <c r="AO9" s="5" t="s">
        <v>295</v>
      </c>
      <c r="AP9" s="5">
        <v>1</v>
      </c>
      <c r="AQ9" t="s">
        <v>304</v>
      </c>
      <c r="AR9" s="5">
        <v>1</v>
      </c>
      <c r="AS9" s="5" t="s">
        <v>263</v>
      </c>
      <c r="AT9" s="5">
        <v>1</v>
      </c>
      <c r="AU9" s="5" t="s">
        <v>302</v>
      </c>
      <c r="AV9" s="5">
        <v>1</v>
      </c>
      <c r="AW9" s="5" t="s">
        <v>295</v>
      </c>
      <c r="AX9">
        <v>1</v>
      </c>
      <c r="AY9" s="1" t="s">
        <v>330</v>
      </c>
      <c r="AZ9">
        <v>-1</v>
      </c>
    </row>
    <row r="10" spans="1:52">
      <c r="B10" s="1" t="s">
        <v>42</v>
      </c>
      <c r="C10" s="1">
        <v>1</v>
      </c>
      <c r="D10" s="1"/>
      <c r="E10" s="1">
        <v>0</v>
      </c>
      <c r="F10" s="1"/>
      <c r="G10" s="1">
        <v>0</v>
      </c>
      <c r="I10">
        <v>0</v>
      </c>
      <c r="K10">
        <v>0</v>
      </c>
      <c r="L10" s="1">
        <v>-1</v>
      </c>
      <c r="M10" s="1">
        <v>-1</v>
      </c>
      <c r="N10" s="1" t="s">
        <v>61</v>
      </c>
      <c r="O10" s="1">
        <v>1</v>
      </c>
      <c r="P10" s="1"/>
      <c r="Q10" s="1">
        <v>0</v>
      </c>
      <c r="S10" s="1" t="s">
        <v>322</v>
      </c>
      <c r="T10">
        <f t="shared" si="0"/>
        <v>1</v>
      </c>
      <c r="U10">
        <v>-1</v>
      </c>
      <c r="V10">
        <v>1</v>
      </c>
      <c r="W10" s="1" t="s">
        <v>172</v>
      </c>
      <c r="X10">
        <v>1</v>
      </c>
      <c r="Y10" s="1" t="s">
        <v>172</v>
      </c>
      <c r="Z10">
        <v>1</v>
      </c>
      <c r="AA10" t="s">
        <v>422</v>
      </c>
      <c r="AB10">
        <v>1</v>
      </c>
      <c r="AC10" t="s">
        <v>422</v>
      </c>
      <c r="AD10">
        <v>1</v>
      </c>
      <c r="AG10" t="s">
        <v>8</v>
      </c>
      <c r="AH10">
        <v>1</v>
      </c>
      <c r="AI10" s="5" t="s">
        <v>268</v>
      </c>
      <c r="AJ10">
        <v>1</v>
      </c>
      <c r="AK10" t="s">
        <v>316</v>
      </c>
      <c r="AL10">
        <v>1</v>
      </c>
      <c r="AM10" t="str">
        <f t="shared" si="1"/>
        <v>AWS - US East (Ohio)</v>
      </c>
      <c r="AN10">
        <f t="shared" si="2"/>
        <v>1</v>
      </c>
      <c r="AO10" s="5" t="s">
        <v>268</v>
      </c>
      <c r="AP10" s="5">
        <v>1</v>
      </c>
      <c r="AQ10" s="5" t="s">
        <v>253</v>
      </c>
      <c r="AR10" s="5">
        <v>1</v>
      </c>
      <c r="AS10" s="5" t="s">
        <v>254</v>
      </c>
      <c r="AT10" s="5">
        <v>1</v>
      </c>
      <c r="AU10" s="5" t="s">
        <v>254</v>
      </c>
      <c r="AV10" s="5">
        <v>1</v>
      </c>
      <c r="AW10" s="5" t="s">
        <v>268</v>
      </c>
      <c r="AX10">
        <v>1</v>
      </c>
    </row>
    <row r="11" spans="1:52">
      <c r="B11" s="1" t="s">
        <v>58</v>
      </c>
      <c r="C11" s="1">
        <v>0</v>
      </c>
      <c r="E11" s="1">
        <v>0</v>
      </c>
      <c r="G11" s="1">
        <v>0</v>
      </c>
      <c r="I11">
        <v>0</v>
      </c>
      <c r="K11">
        <v>0</v>
      </c>
      <c r="L11" s="1">
        <v>1</v>
      </c>
      <c r="M11" s="1">
        <v>0</v>
      </c>
      <c r="N11" s="1" t="s">
        <v>39</v>
      </c>
      <c r="O11" s="1">
        <v>1</v>
      </c>
      <c r="P11" s="1"/>
      <c r="Q11" s="1">
        <v>0</v>
      </c>
      <c r="S11" s="1" t="s">
        <v>172</v>
      </c>
      <c r="T11">
        <f t="shared" si="0"/>
        <v>1</v>
      </c>
      <c r="U11">
        <v>1</v>
      </c>
      <c r="V11">
        <v>1</v>
      </c>
      <c r="W11" s="1" t="s">
        <v>8</v>
      </c>
      <c r="X11">
        <v>1</v>
      </c>
      <c r="Z11">
        <v>0</v>
      </c>
      <c r="AA11" t="s">
        <v>423</v>
      </c>
      <c r="AB11">
        <v>1</v>
      </c>
      <c r="AC11" t="s">
        <v>426</v>
      </c>
      <c r="AD11">
        <v>1</v>
      </c>
      <c r="AI11" s="5" t="s">
        <v>260</v>
      </c>
      <c r="AJ11">
        <v>-0.5</v>
      </c>
      <c r="AM11" t="str">
        <f t="shared" si="1"/>
        <v>AWS - US West (Oregon + California)</v>
      </c>
      <c r="AN11">
        <f t="shared" si="2"/>
        <v>-0.5</v>
      </c>
      <c r="AO11" s="5" t="s">
        <v>253</v>
      </c>
      <c r="AP11" s="5">
        <v>1</v>
      </c>
      <c r="AQ11" s="5" t="s">
        <v>296</v>
      </c>
      <c r="AR11" s="5">
        <v>1</v>
      </c>
      <c r="AS11" s="5" t="s">
        <v>296</v>
      </c>
      <c r="AT11" s="5">
        <v>1</v>
      </c>
      <c r="AU11" s="5" t="s">
        <v>296</v>
      </c>
      <c r="AV11" s="5">
        <v>1</v>
      </c>
      <c r="AW11" s="5" t="s">
        <v>260</v>
      </c>
      <c r="AX11">
        <v>-0.5</v>
      </c>
    </row>
    <row r="12" spans="1:52">
      <c r="B12" s="1" t="s">
        <v>60</v>
      </c>
      <c r="C12" s="1">
        <v>-1</v>
      </c>
      <c r="E12" s="1">
        <v>0</v>
      </c>
      <c r="G12" s="1">
        <v>0</v>
      </c>
      <c r="I12">
        <v>0</v>
      </c>
      <c r="K12">
        <v>0</v>
      </c>
      <c r="L12" s="1">
        <v>0</v>
      </c>
      <c r="M12" s="1">
        <v>0</v>
      </c>
      <c r="N12" s="1" t="s">
        <v>109</v>
      </c>
      <c r="O12" s="1">
        <v>1</v>
      </c>
      <c r="P12" s="1"/>
      <c r="Q12" s="1">
        <v>0</v>
      </c>
      <c r="T12">
        <f t="shared" si="0"/>
        <v>0</v>
      </c>
      <c r="U12">
        <v>0</v>
      </c>
      <c r="V12">
        <v>0</v>
      </c>
      <c r="X12">
        <v>0</v>
      </c>
      <c r="Z12">
        <v>0</v>
      </c>
      <c r="AA12" t="s">
        <v>424</v>
      </c>
      <c r="AB12">
        <v>1</v>
      </c>
      <c r="AC12" t="s">
        <v>427</v>
      </c>
      <c r="AD12">
        <v>1</v>
      </c>
      <c r="AI12" s="5" t="s">
        <v>259</v>
      </c>
      <c r="AJ12">
        <v>-0.5</v>
      </c>
      <c r="AM12" t="str">
        <f t="shared" ref="AM12:AN14" si="3">IF(ArchDomain="Compute",AO12,IF(ArchDomain="Call Center",AQ12,IF(ArchDomain="GenAI",AS13,IF(ArchDomain="Network",AO12,IF(ArchDomain="Desktop",AU12,AW12)))))</f>
        <v>AWS - US West (Oregon)</v>
      </c>
      <c r="AN12">
        <f t="shared" si="3"/>
        <v>-0.5</v>
      </c>
      <c r="AO12" s="5" t="s">
        <v>267</v>
      </c>
      <c r="AP12" s="5">
        <v>1</v>
      </c>
      <c r="AQ12" s="5" t="s">
        <v>60</v>
      </c>
      <c r="AR12" s="5">
        <v>0</v>
      </c>
      <c r="AS12" s="5" t="s">
        <v>262</v>
      </c>
      <c r="AT12" s="94">
        <v>1</v>
      </c>
      <c r="AU12" s="5" t="s">
        <v>60</v>
      </c>
      <c r="AV12" s="5">
        <v>0</v>
      </c>
      <c r="AW12" s="5" t="s">
        <v>259</v>
      </c>
      <c r="AX12">
        <v>-0.5</v>
      </c>
    </row>
    <row r="13" spans="1:52" ht="63">
      <c r="C13" s="1">
        <v>0</v>
      </c>
      <c r="E13" s="1">
        <v>0</v>
      </c>
      <c r="G13" s="1">
        <v>0</v>
      </c>
      <c r="I13">
        <v>0</v>
      </c>
      <c r="K13">
        <v>0</v>
      </c>
      <c r="L13" s="1">
        <v>0</v>
      </c>
      <c r="M13" s="1">
        <v>0</v>
      </c>
      <c r="N13" s="1" t="s">
        <v>110</v>
      </c>
      <c r="O13" s="1">
        <v>1</v>
      </c>
      <c r="P13" s="1"/>
      <c r="Q13" s="1">
        <v>0</v>
      </c>
      <c r="T13">
        <f t="shared" si="0"/>
        <v>0</v>
      </c>
      <c r="U13">
        <v>0</v>
      </c>
      <c r="V13">
        <v>0</v>
      </c>
      <c r="X13">
        <v>0</v>
      </c>
      <c r="Z13">
        <v>0</v>
      </c>
      <c r="AA13" t="s">
        <v>425</v>
      </c>
      <c r="AB13">
        <v>1</v>
      </c>
      <c r="AC13" t="s">
        <v>428</v>
      </c>
      <c r="AD13">
        <v>1</v>
      </c>
      <c r="AI13" s="5" t="s">
        <v>265</v>
      </c>
      <c r="AJ13">
        <v>-0.5</v>
      </c>
      <c r="AM13" t="str">
        <f t="shared" si="3"/>
        <v>AWS - US West (N. California)</v>
      </c>
      <c r="AN13">
        <f t="shared" si="3"/>
        <v>-0.5</v>
      </c>
      <c r="AO13" s="5" t="s">
        <v>263</v>
      </c>
      <c r="AP13" s="5">
        <v>1</v>
      </c>
      <c r="AQ13" s="94" t="s">
        <v>273</v>
      </c>
      <c r="AR13" s="94">
        <v>-1</v>
      </c>
      <c r="AS13" s="5" t="s">
        <v>60</v>
      </c>
      <c r="AT13" s="5">
        <v>0</v>
      </c>
      <c r="AU13" s="94" t="s">
        <v>273</v>
      </c>
      <c r="AV13" s="94">
        <v>-1</v>
      </c>
      <c r="AW13" s="5" t="s">
        <v>265</v>
      </c>
      <c r="AX13">
        <v>-0.5</v>
      </c>
    </row>
    <row r="14" spans="1:52" ht="63">
      <c r="C14" s="1">
        <v>0</v>
      </c>
      <c r="E14" s="1">
        <v>0</v>
      </c>
      <c r="G14" s="1">
        <v>0</v>
      </c>
      <c r="I14">
        <v>0</v>
      </c>
      <c r="K14">
        <v>0</v>
      </c>
      <c r="L14" s="1">
        <v>0</v>
      </c>
      <c r="M14" s="1">
        <v>0</v>
      </c>
      <c r="N14" s="1" t="s">
        <v>150</v>
      </c>
      <c r="O14">
        <v>1</v>
      </c>
      <c r="P14" s="1"/>
      <c r="Q14">
        <v>0</v>
      </c>
      <c r="T14">
        <f t="shared" si="0"/>
        <v>0</v>
      </c>
      <c r="U14">
        <v>0</v>
      </c>
      <c r="V14">
        <v>0</v>
      </c>
      <c r="X14">
        <v>0</v>
      </c>
      <c r="Z14">
        <v>0</v>
      </c>
      <c r="AI14" s="5" t="s">
        <v>266</v>
      </c>
      <c r="AJ14">
        <v>1</v>
      </c>
      <c r="AM14" t="str">
        <f t="shared" si="3"/>
        <v>AWS - Europe (Ireland)</v>
      </c>
      <c r="AN14">
        <f t="shared" si="3"/>
        <v>1</v>
      </c>
      <c r="AO14" s="5" t="s">
        <v>254</v>
      </c>
      <c r="AP14" s="5">
        <v>1</v>
      </c>
      <c r="AQ14" s="5" t="s">
        <v>8</v>
      </c>
      <c r="AR14" s="5">
        <v>1</v>
      </c>
      <c r="AS14" s="94" t="s">
        <v>273</v>
      </c>
      <c r="AT14" s="94">
        <v>-1</v>
      </c>
      <c r="AU14" s="5" t="s">
        <v>8</v>
      </c>
      <c r="AV14" s="5">
        <v>1</v>
      </c>
      <c r="AW14" s="5" t="s">
        <v>266</v>
      </c>
      <c r="AX14">
        <v>1</v>
      </c>
    </row>
    <row r="15" spans="1:52" ht="31.5">
      <c r="C15" s="1">
        <v>0</v>
      </c>
      <c r="E15" s="1">
        <v>0</v>
      </c>
      <c r="G15" s="1">
        <v>0</v>
      </c>
      <c r="I15">
        <v>0</v>
      </c>
      <c r="K15">
        <v>0</v>
      </c>
      <c r="L15" s="1">
        <v>0</v>
      </c>
      <c r="M15" s="1">
        <v>0</v>
      </c>
      <c r="N15" s="1" t="s">
        <v>62</v>
      </c>
      <c r="O15">
        <v>0</v>
      </c>
      <c r="P15" s="1"/>
      <c r="Q15">
        <v>0</v>
      </c>
      <c r="T15">
        <f t="shared" si="0"/>
        <v>0</v>
      </c>
      <c r="U15">
        <v>0</v>
      </c>
      <c r="V15">
        <v>0</v>
      </c>
      <c r="X15">
        <v>0</v>
      </c>
      <c r="Z15">
        <v>0</v>
      </c>
      <c r="AI15" s="5" t="s">
        <v>269</v>
      </c>
      <c r="AJ15">
        <v>1</v>
      </c>
      <c r="AM15" t="str">
        <f>IF(ArchDomain="Compute",AO15,IF(ArchDomain="Call Center",AQ15,IF(ArchDomain="GenAI",#REF!,IF(ArchDomain="Network",AO15,IF(ArchDomain="Desktop",AU15,AW15)))))</f>
        <v>AWS - Europe (London - Requires Architecture Approval, Risk Acceptance or Risk Remediation)</v>
      </c>
      <c r="AN15">
        <f>IF(ArchDomain="Compute",AP15,IF(ArchDomain="Call Center",AR15,IF(ArchDomain="GenAI",#REF!,IF(ArchDomain="Network",AP15,IF(ArchDomain="Desktop",AV15,AX15)))))</f>
        <v>1</v>
      </c>
      <c r="AO15" s="5" t="s">
        <v>296</v>
      </c>
      <c r="AP15" s="5">
        <v>1</v>
      </c>
      <c r="AQ15" s="5" t="s">
        <v>313</v>
      </c>
      <c r="AR15" s="5"/>
      <c r="AS15" s="5" t="s">
        <v>8</v>
      </c>
      <c r="AT15" s="5">
        <v>1</v>
      </c>
      <c r="AU15" s="5" t="s">
        <v>313</v>
      </c>
      <c r="AV15" s="5"/>
      <c r="AW15" s="5" t="s">
        <v>269</v>
      </c>
      <c r="AX15">
        <v>1</v>
      </c>
    </row>
    <row r="16" spans="1:52" ht="31.5">
      <c r="C16">
        <v>0</v>
      </c>
      <c r="E16" s="1">
        <v>0</v>
      </c>
      <c r="G16" s="1">
        <v>0</v>
      </c>
      <c r="I16">
        <v>0</v>
      </c>
      <c r="K16">
        <v>0</v>
      </c>
      <c r="L16" s="1">
        <v>0</v>
      </c>
      <c r="M16" s="1">
        <v>0</v>
      </c>
      <c r="N16" s="1" t="s">
        <v>60</v>
      </c>
      <c r="O16">
        <v>-1</v>
      </c>
      <c r="Q16">
        <v>0</v>
      </c>
      <c r="T16">
        <f t="shared" si="0"/>
        <v>0</v>
      </c>
      <c r="U16">
        <v>0</v>
      </c>
      <c r="V16">
        <v>0</v>
      </c>
      <c r="X16">
        <v>0</v>
      </c>
      <c r="Z16">
        <v>0</v>
      </c>
      <c r="AI16" s="5" t="s">
        <v>270</v>
      </c>
      <c r="AJ16">
        <v>1</v>
      </c>
      <c r="AM16" t="str">
        <f t="shared" si="1"/>
        <v>AWS - Europe (Frankfurt - Requires Architecture Approval, Risk Acceptance or Risk Remediation)</v>
      </c>
      <c r="AN16">
        <f t="shared" si="2"/>
        <v>1</v>
      </c>
      <c r="AO16" s="5" t="s">
        <v>262</v>
      </c>
      <c r="AP16" s="5">
        <v>1</v>
      </c>
      <c r="AQ16" s="5" t="s">
        <v>313</v>
      </c>
      <c r="AR16" s="5"/>
      <c r="AS16" s="5" t="s">
        <v>313</v>
      </c>
      <c r="AT16" s="5"/>
      <c r="AU16" s="5" t="s">
        <v>313</v>
      </c>
      <c r="AV16" s="5"/>
      <c r="AW16" s="5" t="s">
        <v>270</v>
      </c>
      <c r="AX16">
        <v>1</v>
      </c>
    </row>
    <row r="17" spans="3:50">
      <c r="C17">
        <v>0</v>
      </c>
      <c r="E17" s="1">
        <v>0</v>
      </c>
      <c r="G17" s="1">
        <v>0</v>
      </c>
      <c r="I17">
        <v>0</v>
      </c>
      <c r="K17">
        <v>0</v>
      </c>
      <c r="L17" s="1">
        <v>0</v>
      </c>
      <c r="M17" s="1">
        <v>0</v>
      </c>
      <c r="N17" s="1" t="s">
        <v>8</v>
      </c>
      <c r="O17">
        <v>0</v>
      </c>
      <c r="Q17">
        <v>0</v>
      </c>
      <c r="T17">
        <f t="shared" si="0"/>
        <v>0</v>
      </c>
      <c r="U17">
        <v>0</v>
      </c>
      <c r="V17">
        <v>0</v>
      </c>
      <c r="X17">
        <v>0</v>
      </c>
      <c r="Z17">
        <v>0</v>
      </c>
      <c r="AI17" s="5" t="s">
        <v>253</v>
      </c>
      <c r="AJ17">
        <v>1</v>
      </c>
      <c r="AM17" t="str">
        <f t="shared" si="1"/>
        <v>AWS - Multiple Approved</v>
      </c>
      <c r="AN17">
        <f t="shared" si="2"/>
        <v>1</v>
      </c>
      <c r="AO17" s="5" t="s">
        <v>60</v>
      </c>
      <c r="AP17" s="5">
        <v>0</v>
      </c>
      <c r="AQ17" s="5" t="s">
        <v>313</v>
      </c>
      <c r="AR17" s="5"/>
      <c r="AS17" s="5" t="s">
        <v>313</v>
      </c>
      <c r="AT17" s="5"/>
      <c r="AU17" s="5" t="s">
        <v>313</v>
      </c>
      <c r="AV17" s="5"/>
      <c r="AW17" s="5" t="s">
        <v>253</v>
      </c>
      <c r="AX17">
        <v>1</v>
      </c>
    </row>
    <row r="18" spans="3:50" ht="31.5">
      <c r="C18">
        <v>0</v>
      </c>
      <c r="E18" s="1">
        <v>0</v>
      </c>
      <c r="G18" s="1">
        <v>0</v>
      </c>
      <c r="I18">
        <v>0</v>
      </c>
      <c r="K18">
        <v>0</v>
      </c>
      <c r="L18" s="1">
        <v>0</v>
      </c>
      <c r="M18" s="1">
        <v>0</v>
      </c>
      <c r="O18">
        <v>0</v>
      </c>
      <c r="Q18">
        <v>0</v>
      </c>
      <c r="T18">
        <f t="shared" si="0"/>
        <v>0</v>
      </c>
      <c r="U18">
        <v>0</v>
      </c>
      <c r="V18">
        <v>0</v>
      </c>
      <c r="X18">
        <v>0</v>
      </c>
      <c r="Z18">
        <v>0</v>
      </c>
      <c r="AI18" s="5" t="s">
        <v>267</v>
      </c>
      <c r="AJ18">
        <v>-1</v>
      </c>
      <c r="AM18" t="str">
        <f t="shared" si="1"/>
        <v>Azure - North Europe (Ireland)</v>
      </c>
      <c r="AN18">
        <f t="shared" si="2"/>
        <v>-1</v>
      </c>
      <c r="AO18" s="94" t="s">
        <v>273</v>
      </c>
      <c r="AP18" s="94">
        <v>-1</v>
      </c>
      <c r="AQ18" s="5" t="s">
        <v>313</v>
      </c>
      <c r="AS18" s="5" t="s">
        <v>313</v>
      </c>
      <c r="AU18" s="5" t="s">
        <v>313</v>
      </c>
      <c r="AW18" s="5" t="s">
        <v>267</v>
      </c>
      <c r="AX18">
        <v>-1</v>
      </c>
    </row>
    <row r="19" spans="3:50" ht="31.5">
      <c r="C19">
        <v>0</v>
      </c>
      <c r="E19" s="1">
        <v>0</v>
      </c>
      <c r="G19" s="1">
        <v>0</v>
      </c>
      <c r="I19">
        <v>0</v>
      </c>
      <c r="K19">
        <v>0</v>
      </c>
      <c r="L19" s="1">
        <v>0</v>
      </c>
      <c r="M19" s="1">
        <v>0</v>
      </c>
      <c r="O19">
        <v>0</v>
      </c>
      <c r="Q19">
        <v>0</v>
      </c>
      <c r="T19">
        <f t="shared" si="0"/>
        <v>0</v>
      </c>
      <c r="U19">
        <v>0</v>
      </c>
      <c r="V19">
        <v>0</v>
      </c>
      <c r="X19">
        <v>0</v>
      </c>
      <c r="Z19">
        <v>0</v>
      </c>
      <c r="AI19" s="5" t="s">
        <v>271</v>
      </c>
      <c r="AJ19">
        <v>-1</v>
      </c>
      <c r="AM19" t="str">
        <f t="shared" si="1"/>
        <v>Azure - West Europe (Netherlands - Requires Architecture Approval, Risk Acceptance or Risk Remediation)</v>
      </c>
      <c r="AN19">
        <f t="shared" si="2"/>
        <v>-1</v>
      </c>
      <c r="AO19" s="5" t="s">
        <v>8</v>
      </c>
      <c r="AP19" s="5">
        <v>1</v>
      </c>
      <c r="AQ19" s="5" t="s">
        <v>313</v>
      </c>
      <c r="AR19" s="5"/>
      <c r="AS19" s="5" t="s">
        <v>313</v>
      </c>
      <c r="AT19" s="5"/>
      <c r="AU19" s="5" t="s">
        <v>313</v>
      </c>
      <c r="AV19" s="5"/>
      <c r="AW19" s="5" t="s">
        <v>271</v>
      </c>
      <c r="AX19">
        <v>-1</v>
      </c>
    </row>
    <row r="20" spans="3:50" ht="31.5">
      <c r="C20">
        <v>0</v>
      </c>
      <c r="E20" s="1">
        <v>0</v>
      </c>
      <c r="G20" s="1">
        <v>0</v>
      </c>
      <c r="I20">
        <v>0</v>
      </c>
      <c r="K20">
        <v>0</v>
      </c>
      <c r="L20" s="1">
        <v>0</v>
      </c>
      <c r="M20" s="1">
        <v>0</v>
      </c>
      <c r="O20">
        <v>0</v>
      </c>
      <c r="Q20">
        <v>0</v>
      </c>
      <c r="T20">
        <f t="shared" si="0"/>
        <v>0</v>
      </c>
      <c r="U20">
        <v>0</v>
      </c>
      <c r="V20">
        <v>0</v>
      </c>
      <c r="X20">
        <v>0</v>
      </c>
      <c r="Z20">
        <v>0</v>
      </c>
      <c r="AI20" s="5" t="s">
        <v>297</v>
      </c>
      <c r="AJ20">
        <v>1</v>
      </c>
      <c r="AM20" t="str">
        <f t="shared" si="1"/>
        <v>Azure - Sweden Central (Gävle - Requires Architecture Approval, Risk Acceptance or Risk Remediation)</v>
      </c>
      <c r="AN20">
        <f t="shared" si="2"/>
        <v>1</v>
      </c>
      <c r="AO20" s="94" t="s">
        <v>313</v>
      </c>
      <c r="AQ20" s="94" t="s">
        <v>313</v>
      </c>
      <c r="AS20" s="94" t="s">
        <v>313</v>
      </c>
      <c r="AU20" s="94" t="s">
        <v>313</v>
      </c>
      <c r="AW20" s="5" t="s">
        <v>297</v>
      </c>
      <c r="AX20">
        <v>1</v>
      </c>
    </row>
    <row r="21" spans="3:50">
      <c r="AI21" s="5" t="s">
        <v>263</v>
      </c>
      <c r="AJ21">
        <v>1</v>
      </c>
      <c r="AM21" t="str">
        <f t="shared" si="1"/>
        <v>Azure - East US (Virginia)</v>
      </c>
      <c r="AN21">
        <f t="shared" si="2"/>
        <v>1</v>
      </c>
      <c r="AO21" s="94" t="s">
        <v>313</v>
      </c>
      <c r="AQ21" s="94" t="s">
        <v>313</v>
      </c>
      <c r="AS21" s="94" t="s">
        <v>313</v>
      </c>
      <c r="AU21" s="94" t="s">
        <v>313</v>
      </c>
      <c r="AW21" s="5" t="s">
        <v>263</v>
      </c>
      <c r="AX21">
        <v>1</v>
      </c>
    </row>
    <row r="22" spans="3:50">
      <c r="AI22" s="5" t="s">
        <v>264</v>
      </c>
      <c r="AJ22">
        <v>1</v>
      </c>
      <c r="AM22" t="str">
        <f t="shared" si="1"/>
        <v>Azure - East US 2 (Virginia)</v>
      </c>
      <c r="AN22">
        <f t="shared" si="2"/>
        <v>1</v>
      </c>
      <c r="AO22" s="94" t="s">
        <v>313</v>
      </c>
      <c r="AQ22" s="94" t="s">
        <v>313</v>
      </c>
      <c r="AS22" s="94" t="s">
        <v>313</v>
      </c>
      <c r="AU22" s="94" t="s">
        <v>313</v>
      </c>
      <c r="AW22" s="5" t="s">
        <v>264</v>
      </c>
      <c r="AX22">
        <v>1</v>
      </c>
    </row>
    <row r="23" spans="3:50" ht="31.5">
      <c r="AI23" s="5" t="s">
        <v>274</v>
      </c>
      <c r="AJ23">
        <v>-1</v>
      </c>
      <c r="AM23" t="str">
        <f t="shared" si="1"/>
        <v>Azure - East US 3 (Georgia - Requires Architecture Approval, Risk Acceptance or Risk Remediation)</v>
      </c>
      <c r="AN23">
        <f t="shared" si="2"/>
        <v>-1</v>
      </c>
      <c r="AO23" s="94" t="s">
        <v>313</v>
      </c>
      <c r="AQ23" s="94" t="s">
        <v>313</v>
      </c>
      <c r="AS23" s="94" t="s">
        <v>313</v>
      </c>
      <c r="AU23" s="94" t="s">
        <v>313</v>
      </c>
      <c r="AW23" s="5" t="s">
        <v>274</v>
      </c>
      <c r="AX23">
        <v>-1</v>
      </c>
    </row>
    <row r="24" spans="3:50" ht="31.5">
      <c r="AI24" s="5" t="s">
        <v>272</v>
      </c>
      <c r="AJ24">
        <v>-1</v>
      </c>
      <c r="AM24" t="str">
        <f t="shared" si="1"/>
        <v>Azure - Central US (Iowa - Requires Architecture Approval, Risk Acceptance or Risk Remediation)</v>
      </c>
      <c r="AN24">
        <f t="shared" si="2"/>
        <v>-1</v>
      </c>
      <c r="AO24" s="5" t="s">
        <v>313</v>
      </c>
      <c r="AP24" s="5"/>
      <c r="AQ24" s="5" t="s">
        <v>313</v>
      </c>
      <c r="AR24" s="5"/>
      <c r="AS24" s="5" t="s">
        <v>313</v>
      </c>
      <c r="AT24" s="5"/>
      <c r="AU24" s="5" t="s">
        <v>313</v>
      </c>
      <c r="AV24" s="5"/>
      <c r="AW24" s="5" t="s">
        <v>272</v>
      </c>
      <c r="AX24">
        <v>-1</v>
      </c>
    </row>
    <row r="25" spans="3:50">
      <c r="AI25" s="5" t="s">
        <v>254</v>
      </c>
      <c r="AJ25">
        <v>1</v>
      </c>
      <c r="AM25" t="str">
        <f t="shared" si="1"/>
        <v>Azure - Multiple Approved</v>
      </c>
      <c r="AN25">
        <f t="shared" si="2"/>
        <v>1</v>
      </c>
      <c r="AO25" s="5" t="s">
        <v>313</v>
      </c>
      <c r="AP25" s="5"/>
      <c r="AQ25" s="5" t="s">
        <v>313</v>
      </c>
      <c r="AR25" s="5"/>
      <c r="AS25" s="5" t="s">
        <v>313</v>
      </c>
      <c r="AT25" s="5"/>
      <c r="AU25" s="5" t="s">
        <v>313</v>
      </c>
      <c r="AV25" s="5"/>
      <c r="AW25" s="5" t="s">
        <v>254</v>
      </c>
      <c r="AX25">
        <v>1</v>
      </c>
    </row>
    <row r="26" spans="3:50">
      <c r="AI26" s="5" t="s">
        <v>262</v>
      </c>
      <c r="AJ26">
        <v>1</v>
      </c>
      <c r="AM26" t="str">
        <f t="shared" si="1"/>
        <v>SaaS</v>
      </c>
      <c r="AN26">
        <f t="shared" si="2"/>
        <v>1</v>
      </c>
      <c r="AO26" s="5" t="s">
        <v>313</v>
      </c>
      <c r="AP26" s="5"/>
      <c r="AQ26" s="5" t="s">
        <v>313</v>
      </c>
      <c r="AR26" s="5"/>
      <c r="AS26" s="5" t="s">
        <v>313</v>
      </c>
      <c r="AT26" s="5"/>
      <c r="AU26" s="5" t="s">
        <v>313</v>
      </c>
      <c r="AV26" s="5"/>
      <c r="AW26" s="5" t="s">
        <v>262</v>
      </c>
      <c r="AX26">
        <v>1</v>
      </c>
    </row>
    <row r="27" spans="3:50">
      <c r="AI27" s="5" t="s">
        <v>60</v>
      </c>
      <c r="AJ27">
        <v>-10</v>
      </c>
      <c r="AM27" t="str">
        <f t="shared" si="1"/>
        <v>Unknown</v>
      </c>
      <c r="AN27">
        <f t="shared" si="2"/>
        <v>-10</v>
      </c>
      <c r="AO27" s="5" t="s">
        <v>313</v>
      </c>
      <c r="AP27" s="5"/>
      <c r="AQ27" s="5" t="s">
        <v>313</v>
      </c>
      <c r="AR27" s="5"/>
      <c r="AS27" s="5" t="s">
        <v>313</v>
      </c>
      <c r="AT27" s="5"/>
      <c r="AU27" s="5" t="s">
        <v>313</v>
      </c>
      <c r="AV27" s="5"/>
      <c r="AW27" s="5" t="s">
        <v>60</v>
      </c>
      <c r="AX27">
        <v>-10</v>
      </c>
    </row>
    <row r="28" spans="3:50" ht="31.5">
      <c r="AI28" s="94" t="s">
        <v>273</v>
      </c>
      <c r="AJ28">
        <v>-1</v>
      </c>
      <c r="AM28" t="str">
        <f t="shared" si="1"/>
        <v>Other - Explain in Comments Section (Requires Architecture Approval, Risk Acceptance or Risk Remediation)</v>
      </c>
      <c r="AN28">
        <f t="shared" si="2"/>
        <v>-1</v>
      </c>
      <c r="AO28" s="94" t="s">
        <v>313</v>
      </c>
      <c r="AQ28" s="94" t="s">
        <v>313</v>
      </c>
      <c r="AS28" s="94" t="s">
        <v>313</v>
      </c>
      <c r="AU28" s="94" t="s">
        <v>313</v>
      </c>
      <c r="AW28" s="94" t="s">
        <v>273</v>
      </c>
      <c r="AX28">
        <v>-1</v>
      </c>
    </row>
    <row r="29" spans="3:50">
      <c r="AI29" s="5" t="s">
        <v>8</v>
      </c>
      <c r="AJ29">
        <v>1</v>
      </c>
      <c r="AM29" t="str">
        <f t="shared" si="1"/>
        <v>N/A</v>
      </c>
      <c r="AN29">
        <f t="shared" si="2"/>
        <v>1</v>
      </c>
      <c r="AO29" s="5" t="s">
        <v>314</v>
      </c>
      <c r="AP29" s="5"/>
      <c r="AQ29" s="5" t="s">
        <v>314</v>
      </c>
      <c r="AR29" s="5"/>
      <c r="AS29" s="5" t="s">
        <v>314</v>
      </c>
      <c r="AT29" s="5"/>
      <c r="AU29" s="5" t="s">
        <v>313</v>
      </c>
      <c r="AV29" s="5"/>
      <c r="AW29" s="5" t="s">
        <v>8</v>
      </c>
      <c r="AX29" s="5">
        <v>1</v>
      </c>
    </row>
    <row r="30" spans="3:50">
      <c r="AM30" t="str">
        <f t="shared" si="1"/>
        <v xml:space="preserve"> </v>
      </c>
      <c r="AN30">
        <f t="shared" si="2"/>
        <v>0</v>
      </c>
      <c r="AO30" s="94" t="s">
        <v>313</v>
      </c>
      <c r="AQ30" s="94" t="s">
        <v>313</v>
      </c>
      <c r="AS30" s="94" t="s">
        <v>313</v>
      </c>
      <c r="AU30" s="94" t="s">
        <v>313</v>
      </c>
      <c r="AW30" s="94" t="s">
        <v>313</v>
      </c>
    </row>
    <row r="31" spans="3:50">
      <c r="AO31" s="94" t="s">
        <v>313</v>
      </c>
    </row>
  </sheetData>
  <sheetProtection sheet="1" objects="1" scenarios="1"/>
  <sortState xmlns:xlrd2="http://schemas.microsoft.com/office/spreadsheetml/2017/richdata2" ref="N4:O13">
    <sortCondition ref="N4:N13"/>
  </sortState>
  <mergeCells count="23">
    <mergeCell ref="AS3:AT3"/>
    <mergeCell ref="F3:G3"/>
    <mergeCell ref="J3:K3"/>
    <mergeCell ref="B3:C3"/>
    <mergeCell ref="D3:E3"/>
    <mergeCell ref="AG3:AH3"/>
    <mergeCell ref="AE3:AF3"/>
    <mergeCell ref="AY3:AZ3"/>
    <mergeCell ref="AI3:AJ3"/>
    <mergeCell ref="S2:V2"/>
    <mergeCell ref="H3:I3"/>
    <mergeCell ref="N3:O3"/>
    <mergeCell ref="AA3:AB3"/>
    <mergeCell ref="AC3:AD3"/>
    <mergeCell ref="P3:Q3"/>
    <mergeCell ref="W3:X3"/>
    <mergeCell ref="Y3:Z3"/>
    <mergeCell ref="AW3:AX3"/>
    <mergeCell ref="AU3:AV3"/>
    <mergeCell ref="AK3:AL3"/>
    <mergeCell ref="AM3:AN3"/>
    <mergeCell ref="AO3:AP3"/>
    <mergeCell ref="AQ3:AR3"/>
  </mergeCells>
  <phoneticPr fontId="5" type="noConversion"/>
  <pageMargins left="0.7" right="0.7" top="0.75" bottom="0.75" header="0.3" footer="0.3"/>
  <headerFooter>
    <oddFooter>&amp;C_x000D_&amp;1#&amp;"Aptos"&amp;10&amp;K000000 Internal</oddFooter>
  </headerFooter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1CE6-2B48-4CF5-ACC2-782F0FA270B7}">
  <dimension ref="A1:F30"/>
  <sheetViews>
    <sheetView tabSelected="1" workbookViewId="0">
      <selection activeCell="B25" sqref="B25"/>
    </sheetView>
  </sheetViews>
  <sheetFormatPr defaultColWidth="10.625" defaultRowHeight="15.75"/>
  <cols>
    <col min="1" max="1" width="54.625" style="1" customWidth="1"/>
    <col min="2" max="2" width="65.125" style="5" bestFit="1" customWidth="1"/>
    <col min="3" max="3" width="30.125" style="6" bestFit="1" customWidth="1"/>
    <col min="4" max="4" width="7.125" style="2" bestFit="1" customWidth="1"/>
    <col min="5" max="5" width="31.625" style="1" customWidth="1"/>
    <col min="6" max="6" width="56.125" style="5" customWidth="1"/>
    <col min="7" max="16384" width="10.625" style="1"/>
  </cols>
  <sheetData>
    <row r="1" spans="1:6">
      <c r="C1" s="5"/>
      <c r="F1" s="1"/>
    </row>
    <row r="2" spans="1:6">
      <c r="A2" s="79" t="s">
        <v>214</v>
      </c>
      <c r="C2" s="5"/>
      <c r="F2" s="1"/>
    </row>
    <row r="3" spans="1:6">
      <c r="A3" s="80" t="s">
        <v>187</v>
      </c>
      <c r="C3" s="5"/>
      <c r="F3" s="1"/>
    </row>
    <row r="4" spans="1:6">
      <c r="A4" s="81" t="s">
        <v>213</v>
      </c>
      <c r="C4" s="5"/>
      <c r="F4" s="1"/>
    </row>
    <row r="5" spans="1:6">
      <c r="A5" s="82" t="s">
        <v>230</v>
      </c>
      <c r="C5" s="5"/>
      <c r="F5" s="1"/>
    </row>
    <row r="6" spans="1:6">
      <c r="A6" s="5"/>
      <c r="C6" s="5"/>
      <c r="F6" s="1"/>
    </row>
    <row r="7" spans="1:6">
      <c r="A7" s="83" t="s">
        <v>165</v>
      </c>
      <c r="C7" s="5"/>
      <c r="F7" s="1"/>
    </row>
    <row r="8" spans="1:6">
      <c r="A8" s="81" t="s">
        <v>171</v>
      </c>
      <c r="F8" s="1"/>
    </row>
    <row r="9" spans="1:6">
      <c r="A9" s="82" t="s">
        <v>231</v>
      </c>
      <c r="F9" s="1"/>
    </row>
    <row r="10" spans="1:6">
      <c r="A10" s="82" t="s">
        <v>219</v>
      </c>
      <c r="F10" s="1"/>
    </row>
    <row r="11" spans="1:6">
      <c r="A11" s="81" t="s">
        <v>28</v>
      </c>
      <c r="F11" s="1"/>
    </row>
    <row r="12" spans="1:6">
      <c r="A12" s="82" t="s">
        <v>217</v>
      </c>
      <c r="F12" s="1"/>
    </row>
    <row r="13" spans="1:6">
      <c r="A13" s="82" t="s">
        <v>163</v>
      </c>
      <c r="F13" s="1"/>
    </row>
    <row r="14" spans="1:6">
      <c r="A14" s="82" t="s">
        <v>218</v>
      </c>
      <c r="F14" s="1"/>
    </row>
    <row r="15" spans="1:6">
      <c r="A15" s="82" t="s">
        <v>164</v>
      </c>
      <c r="F15" s="1"/>
    </row>
    <row r="16" spans="1:6">
      <c r="A16" s="5"/>
      <c r="F16" s="1"/>
    </row>
    <row r="17" spans="1:2">
      <c r="A17" s="82" t="s">
        <v>197</v>
      </c>
    </row>
    <row r="18" spans="1:2">
      <c r="A18" s="82" t="s">
        <v>200</v>
      </c>
    </row>
    <row r="19" spans="1:2">
      <c r="A19" s="22"/>
    </row>
    <row r="20" spans="1:2" ht="31.5">
      <c r="A20" s="82" t="s">
        <v>229</v>
      </c>
      <c r="B20" s="5" t="s">
        <v>238</v>
      </c>
    </row>
    <row r="22" spans="1:2">
      <c r="A22" s="84" t="s">
        <v>234</v>
      </c>
    </row>
    <row r="23" spans="1:2">
      <c r="A23" s="84" t="s">
        <v>235</v>
      </c>
    </row>
    <row r="25" spans="1:2">
      <c r="A25" s="82" t="s">
        <v>198</v>
      </c>
    </row>
    <row r="26" spans="1:2">
      <c r="A26" s="82" t="s">
        <v>199</v>
      </c>
    </row>
    <row r="27" spans="1:2">
      <c r="A27" s="82" t="s">
        <v>196</v>
      </c>
    </row>
    <row r="28" spans="1:2">
      <c r="A28" s="83" t="s">
        <v>166</v>
      </c>
    </row>
    <row r="30" spans="1:2">
      <c r="A30" s="66" t="s">
        <v>237</v>
      </c>
    </row>
  </sheetData>
  <dataValidations count="1">
    <dataValidation type="list" allowBlank="1" showInputMessage="1" showErrorMessage="1" sqref="C161:C1048576" xr:uid="{1878829C-ECD0-435E-B957-92AE222F6828}">
      <formula1>#REF!</formula1>
    </dataValidation>
  </dataValidations>
  <hyperlinks>
    <hyperlink ref="A11" r:id="rId1" xr:uid="{BD8F1BF1-CE15-4187-9E14-8A790C66A338}"/>
    <hyperlink ref="A7" r:id="rId2" display="Link OneTrust" xr:uid="{E7531116-8EBB-4009-A573-67BCED8A7F47}"/>
    <hyperlink ref="A8" r:id="rId3" xr:uid="{20456CF2-EE97-4D78-AFEF-35011EA09F18}"/>
    <hyperlink ref="A10" r:id="rId4" xr:uid="{D8A31BA7-7C09-462A-A89B-F5F3CCDF1C51}"/>
    <hyperlink ref="A12" r:id="rId5" display="https://aegon.service-now.com/kb?sys_kb_id=4a4481592b5a7254c449f892c891bfcf&amp;id=kb_article_view&amp;sysparm_rank=2&amp;sysparm_tsqueryId=43e4899133563290692689b32d5c7b18" xr:uid="{28640F71-2B4D-4D5C-A860-37945F4FC07A}"/>
    <hyperlink ref="A13" r:id="rId6" display="https://aegon.service-now.com/$viewer.do?sysparm_stack=no&amp;sysparm_sys_id=b24405952b5a3e986665fa2ece91bf75" xr:uid="{E74F7B55-07F0-4FC9-8723-F65A0AFA3AB3}"/>
    <hyperlink ref="A14" r:id="rId7" display="https://aegon.service-now.com/$viewer.do?sysparm_stack=no&amp;sysparm_sys_id=664481952b5a3e986665fa2ece91bf27" xr:uid="{EFA1EBC3-4C05-46F6-BD02-12674A501A77}"/>
    <hyperlink ref="A15" r:id="rId8" xr:uid="{B6B3E7A7-2C5F-4C69-8BC7-3909F60AB28B}"/>
    <hyperlink ref="A2" r:id="rId9" display="2024 Charter" xr:uid="{D5B2EB4B-47C7-4205-A21A-7AF2375D1322}"/>
    <hyperlink ref="A17" r:id="rId10" display="../../../GTS-GlobalARB/Lists/Aegon Global ARB Calendar and Decisions/DispForm.aspx?ID=59&amp;e=3nbSH6" xr:uid="{A222597B-DADD-4A38-8122-4033369C19CB}"/>
    <hyperlink ref="A18" r:id="rId11" display="../../../../:p:/r/sites/GTS-GlobalARB/Aegon Global Architecture Policies and Standards/Global Resiliency Tiers and Design Guidance.pptx?d=w0670e2b0a05a42e98a99d6b0ee3d5a1b&amp;csf=1&amp;web=1&amp;e=yuju0H" xr:uid="{EF1BBEE2-A025-4FBE-B797-47A93A08E170}"/>
    <hyperlink ref="A20" r:id="rId12" xr:uid="{CB7F1138-02A6-49F1-8249-DBE4D5B37364}"/>
    <hyperlink ref="A22" r:id="rId13" display="../../../GTS-GTSRiskReviewAssessment/Lists/Risk Catalog/AddRiskDescriptions.aspx" xr:uid="{80976E58-1D7E-42A1-B934-B902C2752B95}"/>
    <hyperlink ref="A23" r:id="rId14" display="../../../TA-IntegratedITControlsAssessment" xr:uid="{C0B07059-7556-4C0D-BAF9-90348366F6ED}"/>
    <hyperlink ref="A27" r:id="rId15" display="../../../GTS-GlobalARB/Lists/Aegon Global ARB Calendar and Decisions/DispForm.aspx?ID=67&amp;e=aFEmdQ" xr:uid="{DB7EFEFD-E9EF-4EB8-BD6A-BD26316BE4E0}"/>
    <hyperlink ref="A25" r:id="rId16" display="../../../GTS-GlobalARB/Lists/Aegon Global ARB Calendar and Decisions/DispForm.aspx?ID=60&amp;e=re92E3" xr:uid="{9506474B-43C8-452B-843A-7A913552580D}"/>
    <hyperlink ref="A26" r:id="rId17" display="../../../GTS-GlobalARB/Lists/Aegon Global ARB Calendar and Decisions/DispForm.aspx?ID=24&amp;e=SaQhKt" xr:uid="{FE63E276-8E4D-4D51-9767-3D5CDF18A62F}"/>
    <hyperlink ref="A28" r:id="rId18" xr:uid="{597C4D76-DCAB-41E9-8515-B6D9B8492765}"/>
    <hyperlink ref="A3" r:id="rId19" display="https://aegon.sharepoint.com/:b:/r/sites/CC-PolicyHouseGroup-10099/Shared Documents/Generative AI Policy.pdf?csf=1&amp;web=1&amp;e=ER9yPo" xr:uid="{AB22DB29-4B93-480D-A5B1-CE45121ED9C0}"/>
    <hyperlink ref="A4" r:id="rId20" xr:uid="{47D68FB1-DD27-40D5-993B-3F20EA2F8D4B}"/>
    <hyperlink ref="A5" r:id="rId21" xr:uid="{2B488357-9170-4147-A4C4-7DFA849DF22D}"/>
    <hyperlink ref="A9" r:id="rId22" display="../../../../:b:/r/sites/TA-TAInformationSecurityPoliciesandStandards/Public/Transamerica Encryption Standards.pdf?csf=1&amp;web=1&amp;e=ZxYvDy&amp;isSPOFile=1&amp;xsdata=MDV8MDJ8fGE1NjA5OTVkYTAyNjRlM2FhNjY1MDhkZTUyMmExMWExfDQ2ZTE2ODM1YzgwNDQxZGViZTNjNTU4MzVkMTRkZWU0fDB8MHw2MzkwMzg1Mzc3NzEwOTk3NDl8VW5rbm93bnxWR1ZoYlhOVFpXTjFjbWwwZVZObGNuWnBZMlY4ZXlKRFFTSTZJbFJsWVcxelgwRlVVRk5sY25acFkyVmZVMUJQVEU5R0lpd2lWaUk2SWpBdU1DNHdNREF3SWl3aVVDSTZJbGRwYmpNeUlpd2lRVTRpT2lKUGRHaGxjaUlzSWxkVUlqb3hNWDA9fDF8TDJOb1lYUnpMekU1T20xbFpYUnBibWRmV1dwWk0wNXFWbXROUkdOMFdWUkdhVmxwTURCYWJVbDRURlJvYVUxWFVYUk5Na1pvVGxSUmVWcEhTVEpPUjFWNlFIUm9jbVZoWkM1Mk1pOXRaWE56WVdkbGN5OHhOelk0TWpVMk9UYzJNek00fGM3ZmE4ZTRkYTNlODQ0ZmMzMGRmMDhkZTUyMmExMWExfDM0MWU4Y2ZlN2NhYzRkMTRiYTU3NjY4MjhlMWNmNWUw&amp;sdata=MzY5YUc4RG9sZUJrTGV3NndhbGNoOTBuaFRlVnpmNnR1OWsvNGNmQjA4RT0%3D&amp;ovuser=46e16835-c804-41de-be3c-55835d14dee4%2Cbobby.willoughby%40transamerica.com" xr:uid="{8A01BBFA-0065-4624-A823-6BBCF9AC45FA}"/>
    <hyperlink ref="A30" r:id="rId23" display="../../../GTS-ICC/Intranet/ITCF/Shared Documents/Forms/AllItems.aspx?viewid=99189f90%2Df2b0%2D478b%2Da980%2Df93a529e9b18&amp;csf=1&amp;web=1&amp;e=ynwV5S&amp;cid=1d30cfce%2D9d35%2D4ff2%2D94fc%2D37f47f6b4ebf&amp;FolderCTID=0x012000E035F8AFB69860479F9EADAF3C29FAC1" xr:uid="{92C47AB0-3376-4A77-8DD8-F6E22A73B42C}"/>
  </hyperlinks>
  <pageMargins left="0.7" right="0.7" top="0.75" bottom="0.75" header="0.3" footer="0.3"/>
  <headerFooter>
    <oddFooter>&amp;C_x000D_&amp;1#&amp;"Aptos"&amp;10&amp;K000000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B1A1F6E68D649BA6AC6294829DEDD" ma:contentTypeVersion="9" ma:contentTypeDescription="Create a new document." ma:contentTypeScope="" ma:versionID="33a1e0d0b25836bfd6df7ad073536fe9">
  <xsd:schema xmlns:xsd="http://www.w3.org/2001/XMLSchema" xmlns:xs="http://www.w3.org/2001/XMLSchema" xmlns:p="http://schemas.microsoft.com/office/2006/metadata/properties" xmlns:ns2="64890ed3-1443-4801-af28-560269e5aecc" xmlns:ns3="a7119a4e-e68f-40ab-b042-1f58d8d72198" targetNamespace="http://schemas.microsoft.com/office/2006/metadata/properties" ma:root="true" ma:fieldsID="c3cb138614f266d033fd006ec6faccdf" ns2:_="" ns3:_="">
    <xsd:import namespace="64890ed3-1443-4801-af28-560269e5aecc"/>
    <xsd:import namespace="a7119a4e-e68f-40ab-b042-1f58d8d72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90ed3-1443-4801-af28-560269e5a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19a4e-e68f-40ab-b042-1f58d8d7219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7119a4e-e68f-40ab-b042-1f58d8d72198">
      <UserInfo>
        <DisplayName>Smith, Aaron</DisplayName>
        <AccountId>1127</AccountId>
        <AccountType/>
      </UserInfo>
    </SharedWithUsers>
    <_Flow_SignoffStatus xmlns="64890ed3-1443-4801-af28-560269e5aecc" xsi:nil="true"/>
  </documentManagement>
</p:properties>
</file>

<file path=customXml/itemProps1.xml><?xml version="1.0" encoding="utf-8"?>
<ds:datastoreItem xmlns:ds="http://schemas.openxmlformats.org/officeDocument/2006/customXml" ds:itemID="{00BCD2B8-D6BF-4D0F-8892-8D86AFE1EC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C52381-827C-4FE8-8F28-947FE54D443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94330A4-C267-46A6-97CF-9452520E7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90ed3-1443-4801-af28-560269e5aecc"/>
    <ds:schemaRef ds:uri="a7119a4e-e68f-40ab-b042-1f58d8d721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353E1DD-8234-476E-AEEE-F356B7F677F6}">
  <ds:schemaRefs>
    <ds:schemaRef ds:uri="http://schemas.microsoft.com/office/2006/metadata/properties"/>
    <ds:schemaRef ds:uri="http://schemas.microsoft.com/office/infopath/2007/PartnerControls"/>
    <ds:schemaRef ds:uri="a7119a4e-e68f-40ab-b042-1f58d8d72198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64890ed3-1443-4801-af28-560269e5aec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Change Log</vt:lpstr>
      <vt:lpstr>Pre-Post ARB Checklist</vt:lpstr>
      <vt:lpstr>Arch Alignment to Standandards</vt:lpstr>
      <vt:lpstr>Target Operating Model</vt:lpstr>
      <vt:lpstr>Assessment Score</vt:lpstr>
      <vt:lpstr>Architecture</vt:lpstr>
      <vt:lpstr>Business Enablement Svcs Tech</vt:lpstr>
      <vt:lpstr>Data Privacy</vt:lpstr>
      <vt:lpstr>Gen AI</vt:lpstr>
      <vt:lpstr>Security</vt:lpstr>
      <vt:lpstr>Risks</vt:lpstr>
      <vt:lpstr>Performance</vt:lpstr>
      <vt:lpstr>NFRs</vt:lpstr>
      <vt:lpstr>References</vt:lpstr>
      <vt:lpstr>Links and References</vt:lpstr>
      <vt:lpstr>Answers</vt:lpstr>
      <vt:lpstr>ARBType</vt:lpstr>
      <vt:lpstr>ArchDomain</vt:lpstr>
      <vt:lpstr>'Arch Alignment to Standandards'!Score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Willoughby, Bobby</dc:creator>
  <cp:keywords/>
  <dc:description/>
  <cp:lastModifiedBy>Kerbachi, Mohamed - GTS Global ENG &amp; ARCH</cp:lastModifiedBy>
  <cp:revision/>
  <dcterms:created xsi:type="dcterms:W3CDTF">2023-08-10T08:14:23Z</dcterms:created>
  <dcterms:modified xsi:type="dcterms:W3CDTF">2026-08-05T18:48:47Z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0x010100F39B1A1F6E68D649BA6AC6294829DEDD</vt:lpwstr>
  </property>
  <property fmtid="{D5CDD505-2E9C-101B-9397-08002B2CF9AE}" pid="3" name="MediaServiceImageTags">
    <vt:lpwstr/>
  </property>
  <property fmtid="{D5CDD505-2E9C-101B-9397-08002B2CF9AE}" pid="4" name="Order">
    <vt:r8>884900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SIP_Label_f80fac54-5887-4bd1-804d-90736ea68144_Enabled">
    <vt:lpwstr>true</vt:lpwstr>
  </property>
  <property fmtid="{D5CDD505-2E9C-101B-9397-08002B2CF9AE}" pid="12" name="MSIP_Label_f80fac54-5887-4bd1-804d-90736ea68144_SetDate">
    <vt:lpwstr>2026-06-29T09:44:26Z</vt:lpwstr>
  </property>
  <property fmtid="{D5CDD505-2E9C-101B-9397-08002B2CF9AE}" pid="13" name="MSIP_Label_f80fac54-5887-4bd1-804d-90736ea68144_Method">
    <vt:lpwstr>Privileged</vt:lpwstr>
  </property>
  <property fmtid="{D5CDD505-2E9C-101B-9397-08002B2CF9AE}" pid="14" name="MSIP_Label_f80fac54-5887-4bd1-804d-90736ea68144_Name">
    <vt:lpwstr>!aegon-internal</vt:lpwstr>
  </property>
  <property fmtid="{D5CDD505-2E9C-101B-9397-08002B2CF9AE}" pid="15" name="MSIP_Label_f80fac54-5887-4bd1-804d-90736ea68144_SiteId">
    <vt:lpwstr>46e16835-c804-41de-be3c-55835d14dee4</vt:lpwstr>
  </property>
  <property fmtid="{D5CDD505-2E9C-101B-9397-08002B2CF9AE}" pid="16" name="MSIP_Label_f80fac54-5887-4bd1-804d-90736ea68144_ActionId">
    <vt:lpwstr>1c0857f3-b053-4ab2-83a0-06308be06d39</vt:lpwstr>
  </property>
  <property fmtid="{D5CDD505-2E9C-101B-9397-08002B2CF9AE}" pid="17" name="MSIP_Label_f80fac54-5887-4bd1-804d-90736ea68144_ContentBits">
    <vt:lpwstr>2</vt:lpwstr>
  </property>
  <property fmtid="{D5CDD505-2E9C-101B-9397-08002B2CF9AE}" pid="18" name="MSIP_Label_f80fac54-5887-4bd1-804d-90736ea68144_Tag">
    <vt:lpwstr>10, 0, 1, 1</vt:lpwstr>
  </property>
</Properties>
</file>